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eywords" sheetId="2" state="visible" r:id="rId4"/>
    <sheet name="Clusters" sheetId="3" state="visible" r:id="rId5"/>
    <sheet name="Idiomas" sheetId="4" state="visible" r:id="rId6"/>
    <sheet name="Tareas_Programadas" sheetId="5" state="visible" r:id="rId7"/>
    <sheet name="Roadmap" sheetId="6" state="visible" r:id="rId8"/>
  </sheets>
  <definedNames>
    <definedName function="false" hidden="true" localSheetId="1" name="_xlnm._FilterDatabase" vbProcedure="false">Keywords!$A$1:$L$66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<sst xmlns="http://schemas.openxmlformats.org/spreadsheetml/2006/main" count="646" uniqueCount="277">
  <si>
    <t xml:space="preserve">GOD PLAN SEO — Dashboard</t>
  </si>
  <si>
    <t xml:space="preserve">Costa Brava Rent a Boat — Actualizado 2026-04-20</t>
  </si>
  <si>
    <t xml:space="preserve">Metrica</t>
  </si>
  <si>
    <t xml:space="preserve">Baseline</t>
  </si>
  <si>
    <t xml:space="preserve">Meta 90d</t>
  </si>
  <si>
    <t xml:space="preserve">Meta 180d</t>
  </si>
  <si>
    <t xml:space="preserve">Actual</t>
  </si>
  <si>
    <t xml:space="preserve">Gap</t>
  </si>
  <si>
    <t xml:space="preserve">Keywords en top 3</t>
  </si>
  <si>
    <t xml:space="preserve">Keywords en top 10</t>
  </si>
  <si>
    <t xml:space="preserve">Clicks organicos / mes</t>
  </si>
  <si>
    <t xml:space="preserve">Impresiones / mes</t>
  </si>
  <si>
    <t xml:space="preserve">Backlinks DR&gt;30</t>
  </si>
  <si>
    <t xml:space="preserve">Citaciones IA / mes</t>
  </si>
  <si>
    <t xml:space="preserve">Revenue organico EUR</t>
  </si>
  <si>
    <t xml:space="preserve">Resumen cartera keywords</t>
  </si>
  <si>
    <t xml:space="preserve">Total keywords</t>
  </si>
  <si>
    <t xml:space="preserve">Hero keywords (Tier 1)</t>
  </si>
  <si>
    <t xml:space="preserve">Keywords Cluster A (Local-Blanes)</t>
  </si>
  <si>
    <t xml:space="preserve">Keywords Cluster B (Costa-Brava)</t>
  </si>
  <si>
    <t xml:space="preserve">Keywords Cluster C (Sin-licencia)</t>
  </si>
  <si>
    <t xml:space="preserve">Keywords Cluster D (Excursiones)</t>
  </si>
  <si>
    <t xml:space="preserve">Keywords Cluster E (Barcelona)</t>
  </si>
  <si>
    <t xml:space="preserve">#</t>
  </si>
  <si>
    <t xml:space="preserve">Keyword</t>
  </si>
  <si>
    <t xml:space="preserve">Cluster</t>
  </si>
  <si>
    <t xml:space="preserve">Idioma</t>
  </si>
  <si>
    <t xml:space="preserve">Tier</t>
  </si>
  <si>
    <t xml:space="preserve">URL objetivo</t>
  </si>
  <si>
    <t xml:space="preserve">Intent</t>
  </si>
  <si>
    <t xml:space="preserve">Vol est.</t>
  </si>
  <si>
    <t xml:space="preserve">KD est.</t>
  </si>
  <si>
    <t xml:space="preserve">Pos actual</t>
  </si>
  <si>
    <t xml:space="preserve">Pos meta</t>
  </si>
  <si>
    <t xml:space="preserve">Estado</t>
  </si>
  <si>
    <t xml:space="preserve">alquiler barcos Blanes</t>
  </si>
  <si>
    <t xml:space="preserve">A-Local-Blanes</t>
  </si>
  <si>
    <t xml:space="preserve">es</t>
  </si>
  <si>
    <t xml:space="preserve">Tier 1</t>
  </si>
  <si>
    <t xml:space="preserve">/alquiler-barcos-blanes</t>
  </si>
  <si>
    <t xml:space="preserve">Transaccional</t>
  </si>
  <si>
    <t xml:space="preserve">Pendiente</t>
  </si>
  <si>
    <t xml:space="preserve">alquiler barco sin licencia Blanes</t>
  </si>
  <si>
    <t xml:space="preserve">C-Sin-licencia</t>
  </si>
  <si>
    <t xml:space="preserve">/alquiler-barcos-sin-licencia-blanes</t>
  </si>
  <si>
    <t xml:space="preserve">alquiler barco sin licencia Costa Brava</t>
  </si>
  <si>
    <t xml:space="preserve">/alquiler-barcos-sin-licencia-costa-brava</t>
  </si>
  <si>
    <t xml:space="preserve">boat rental Blanes</t>
  </si>
  <si>
    <t xml:space="preserve">en</t>
  </si>
  <si>
    <t xml:space="preserve">/en/boat-rental-blanes</t>
  </si>
  <si>
    <t xml:space="preserve">boat rental Costa Brava</t>
  </si>
  <si>
    <t xml:space="preserve">B-Costa-Brava</t>
  </si>
  <si>
    <t xml:space="preserve">/en/boat-rental-costa-brava</t>
  </si>
  <si>
    <t xml:space="preserve">boat rental without license Spain</t>
  </si>
  <si>
    <t xml:space="preserve">/en/boat-rental-no-license-spain</t>
  </si>
  <si>
    <t xml:space="preserve">lloguer vaixells Blanes</t>
  </si>
  <si>
    <t xml:space="preserve">ca</t>
  </si>
  <si>
    <t xml:space="preserve">/ca/lloguer-vaixells-blanes</t>
  </si>
  <si>
    <t xml:space="preserve">location bateau Blanes</t>
  </si>
  <si>
    <t xml:space="preserve">fr</t>
  </si>
  <si>
    <t xml:space="preserve">/fr/location-bateau-blanes</t>
  </si>
  <si>
    <t xml:space="preserve">Bootverleih Blanes</t>
  </si>
  <si>
    <t xml:space="preserve">de</t>
  </si>
  <si>
    <t xml:space="preserve">/de/bootverleih-blanes</t>
  </si>
  <si>
    <t xml:space="preserve">Barcelona boat rental day trip</t>
  </si>
  <si>
    <t xml:space="preserve">E-Barcelona</t>
  </si>
  <si>
    <t xml:space="preserve">/en/boat-rental-day-trip-barcelona</t>
  </si>
  <si>
    <t xml:space="preserve">alquiler barco Barcelona un dia</t>
  </si>
  <si>
    <t xml:space="preserve">/es/alquiler-barco-un-dia-barcelona</t>
  </si>
  <si>
    <t xml:space="preserve">excursion privada barco Costa Brava</t>
  </si>
  <si>
    <t xml:space="preserve">D-Excursiones</t>
  </si>
  <si>
    <t xml:space="preserve">/es/excursion-privada-barco</t>
  </si>
  <si>
    <t xml:space="preserve">alquiler lancha Blanes</t>
  </si>
  <si>
    <t xml:space="preserve">Tier 2</t>
  </si>
  <si>
    <t xml:space="preserve">zodiac Blanes alquiler</t>
  </si>
  <si>
    <t xml:space="preserve">puerto Blanes alquiler barcos</t>
  </si>
  <si>
    <t xml:space="preserve">rent a boat Blanes</t>
  </si>
  <si>
    <t xml:space="preserve">Blanes boat rental no license</t>
  </si>
  <si>
    <t xml:space="preserve">/en/boat-rental-no-license-blanes</t>
  </si>
  <si>
    <t xml:space="preserve">lloguer barca Blanes</t>
  </si>
  <si>
    <t xml:space="preserve">louer bateau Blanes</t>
  </si>
  <si>
    <t xml:space="preserve">Boot mieten Blanes</t>
  </si>
  <si>
    <t xml:space="preserve">boot huren Blanes</t>
  </si>
  <si>
    <t xml:space="preserve">nl</t>
  </si>
  <si>
    <t xml:space="preserve">/nl/boot-huren-blanes</t>
  </si>
  <si>
    <t xml:space="preserve">noleggio barche Blanes</t>
  </si>
  <si>
    <t xml:space="preserve">it</t>
  </si>
  <si>
    <t xml:space="preserve">/it/noleggio-barche-blanes</t>
  </si>
  <si>
    <t xml:space="preserve">аренда лодок Бланес</t>
  </si>
  <si>
    <t xml:space="preserve">ru</t>
  </si>
  <si>
    <t xml:space="preserve">/ru/arenda-lodok-blanes</t>
  </si>
  <si>
    <t xml:space="preserve">alquiler barcos Costa Brava</t>
  </si>
  <si>
    <t xml:space="preserve">/alquiler-barcos-costa-brava</t>
  </si>
  <si>
    <t xml:space="preserve">alquiler barcos Lloret de Mar</t>
  </si>
  <si>
    <t xml:space="preserve">/alquiler-barcos-lloret-de-mar</t>
  </si>
  <si>
    <t xml:space="preserve">alquiler barcos Tossa de Mar</t>
  </si>
  <si>
    <t xml:space="preserve">/alquiler-barcos-tossa-de-mar</t>
  </si>
  <si>
    <t xml:space="preserve">boat rental Lloret de Mar</t>
  </si>
  <si>
    <t xml:space="preserve">/en/boat-rental-lloret-de-mar</t>
  </si>
  <si>
    <t xml:space="preserve">boat hire Costa Brava</t>
  </si>
  <si>
    <t xml:space="preserve">lloguer vaixells Costa Brava</t>
  </si>
  <si>
    <t xml:space="preserve">/ca/lloguer-vaixells-costa-brava</t>
  </si>
  <si>
    <t xml:space="preserve">location bateau Costa Brava</t>
  </si>
  <si>
    <t xml:space="preserve">/fr/location-bateau-costa-brava</t>
  </si>
  <si>
    <t xml:space="preserve">Bootsverleih Costa Brava</t>
  </si>
  <si>
    <t xml:space="preserve">/de/bootverleih-costa-brava</t>
  </si>
  <si>
    <t xml:space="preserve">barco sin licencia</t>
  </si>
  <si>
    <t xml:space="preserve">/alquiler-barcos-sin-licencia</t>
  </si>
  <si>
    <t xml:space="preserve">alquiler barco sin carnet</t>
  </si>
  <si>
    <t xml:space="preserve">navegar sin licencia Espana</t>
  </si>
  <si>
    <t xml:space="preserve">/blog/navegar-sin-licencia-espana</t>
  </si>
  <si>
    <t xml:space="preserve">Informativo</t>
  </si>
  <si>
    <t xml:space="preserve">boat without license Spain</t>
  </si>
  <si>
    <t xml:space="preserve">bateau sans permis Espagne</t>
  </si>
  <si>
    <t xml:space="preserve">/fr/location-bateau-sans-permis-espagne</t>
  </si>
  <si>
    <t xml:space="preserve">fuhrerscheinfreies Boot Spanien</t>
  </si>
  <si>
    <t xml:space="preserve">/de/bootverleih-ohne-fuhrerschein-spanien</t>
  </si>
  <si>
    <t xml:space="preserve">ruta barco Tossa de Mar</t>
  </si>
  <si>
    <t xml:space="preserve">/rutas/tossa-de-mar</t>
  </si>
  <si>
    <t xml:space="preserve">excursion Cala Sant Francesc barco</t>
  </si>
  <si>
    <t xml:space="preserve">/rutas/cala-sant-francesc</t>
  </si>
  <si>
    <t xml:space="preserve">snorkel Blanes barco</t>
  </si>
  <si>
    <t xml:space="preserve">/actividades/snorkel</t>
  </si>
  <si>
    <t xml:space="preserve">calas Costa Brava en barco</t>
  </si>
  <si>
    <t xml:space="preserve">/blog/mejores-calas-costa-brava-barco</t>
  </si>
  <si>
    <t xml:space="preserve">sunset boat Costa Brava</t>
  </si>
  <si>
    <t xml:space="preserve">/en/activities/sunset</t>
  </si>
  <si>
    <t xml:space="preserve">snorkeling Costa Brava boat</t>
  </si>
  <si>
    <t xml:space="preserve">/en/activities/snorkel</t>
  </si>
  <si>
    <t xml:space="preserve">private boat tour Costa Brava</t>
  </si>
  <si>
    <t xml:space="preserve">/en/excursion-privada-barco</t>
  </si>
  <si>
    <t xml:space="preserve">excursion barco desde Barcelona</t>
  </si>
  <si>
    <t xml:space="preserve">/es/excursion-barco-desde-barcelona</t>
  </si>
  <si>
    <t xml:space="preserve">boat trip from Barcelona</t>
  </si>
  <si>
    <t xml:space="preserve">/en/boat-trip-from-barcelona</t>
  </si>
  <si>
    <t xml:space="preserve">day trip from Barcelona beach</t>
  </si>
  <si>
    <t xml:space="preserve">/en/barcelona-day-trip-beach-boat</t>
  </si>
  <si>
    <t xml:space="preserve">Costa Brava day trip Barcelona</t>
  </si>
  <si>
    <t xml:space="preserve">/en/costa-brava-day-trip-barcelona</t>
  </si>
  <si>
    <t xml:space="preserve">alquilar barco hasta 6 personas</t>
  </si>
  <si>
    <t xml:space="preserve">Tier 3</t>
  </si>
  <si>
    <t xml:space="preserve">barco 15 CV sin carnet</t>
  </si>
  <si>
    <t xml:space="preserve">/blog/que-puedo-navegar-sin-licencia</t>
  </si>
  <si>
    <t xml:space="preserve">alquiler barco con patron Blanes</t>
  </si>
  <si>
    <t xml:space="preserve">barco privado Costa Brava con skipper</t>
  </si>
  <si>
    <t xml:space="preserve">alquiler barcos Costa Brava familia</t>
  </si>
  <si>
    <t xml:space="preserve">que llevar a un dia de barco</t>
  </si>
  <si>
    <t xml:space="preserve">/es/blog/que-llevar-dia-barco-checklist</t>
  </si>
  <si>
    <t xml:space="preserve">what to bring on a boat day</t>
  </si>
  <si>
    <t xml:space="preserve">/en/blog/what-to-bring-boat-day</t>
  </si>
  <si>
    <t xml:space="preserve">mejor epoca alquilar barco Costa Brava</t>
  </si>
  <si>
    <t xml:space="preserve">/es/blog/cuando-alquilar-barco-costa-brava</t>
  </si>
  <si>
    <t xml:space="preserve">best time boat rental Costa Brava</t>
  </si>
  <si>
    <t xml:space="preserve">/en/blog/best-time-boat-rental</t>
  </si>
  <si>
    <t xml:space="preserve">cala Giverola desde Blanes</t>
  </si>
  <si>
    <t xml:space="preserve">/rutas/cala-giverola</t>
  </si>
  <si>
    <t xml:space="preserve">Illes Formigues snorkel</t>
  </si>
  <si>
    <t xml:space="preserve">/rutas/illes-formigues</t>
  </si>
  <si>
    <t xml:space="preserve">cala Pola barco</t>
  </si>
  <si>
    <t xml:space="preserve">/rutas/cala-pola</t>
  </si>
  <si>
    <t xml:space="preserve">boat rental Sant Feliu de Guixols</t>
  </si>
  <si>
    <t xml:space="preserve">/en/boat-rental-sant-feliu-de-guixols</t>
  </si>
  <si>
    <t xml:space="preserve">noleggio barca senza patente Costa Brava</t>
  </si>
  <si>
    <t xml:space="preserve">/it/noleggio-barche-senza-patente-costa-brava</t>
  </si>
  <si>
    <t xml:space="preserve">boot huren zonder vaarbewijs</t>
  </si>
  <si>
    <t xml:space="preserve">/nl/boot-huren-zonder-vaarbewijs</t>
  </si>
  <si>
    <t xml:space="preserve">Bootsausflug Costa Brava</t>
  </si>
  <si>
    <t xml:space="preserve">/de/aktivitaeten/bootsausflug</t>
  </si>
  <si>
    <t xml:space="preserve">аренда яхты Коста Брава</t>
  </si>
  <si>
    <t xml:space="preserve">/ru/arenda-lodok-kosta-brava</t>
  </si>
  <si>
    <t xml:space="preserve">Resumen por Cluster</t>
  </si>
  <si>
    <t xml:space="preserve">Descripcion</t>
  </si>
  <si>
    <t xml:space="preserve"># Keywords</t>
  </si>
  <si>
    <t xml:space="preserve"># Tier 1</t>
  </si>
  <si>
    <t xml:space="preserve">Vol estimado</t>
  </si>
  <si>
    <t xml:space="preserve">KD promedio</t>
  </si>
  <si>
    <t xml:space="preserve">Keywords geo-especificas de Blanes. Maxima intencion, baja competencia.</t>
  </si>
  <si>
    <t xml:space="preserve">Keywords regionales Costa Brava. Alto volumen, competencia media-alta.</t>
  </si>
  <si>
    <t xml:space="preserve">Keywords por categoria sin-licencia. Alta intencion transaccional.</t>
  </si>
  <si>
    <t xml:space="preserve">Keywords de rutas, calas, actividades. Informativo-transaccional.</t>
  </si>
  <si>
    <t xml:space="preserve">Keywords 'desde Barcelona'. Alto volumen, competencia alta.</t>
  </si>
  <si>
    <t xml:space="preserve">TOTAL</t>
  </si>
  <si>
    <t xml:space="preserve">Cobertura por Idioma</t>
  </si>
  <si>
    <t xml:space="preserve">Prioridad</t>
  </si>
  <si>
    <t xml:space="preserve">Activo</t>
  </si>
  <si>
    <t xml:space="preserve">Planificado</t>
  </si>
  <si>
    <t xml:space="preserve">Catalogo de Tareas Programadas (14 crons)</t>
  </si>
  <si>
    <t xml:space="preserve">taskId</t>
  </si>
  <si>
    <t xml:space="preserve">Cron (local)</t>
  </si>
  <si>
    <t xml:space="preserve">Frecuencia</t>
  </si>
  <si>
    <t xml:space="preserve">Proposito</t>
  </si>
  <si>
    <t xml:space="preserve">seo-monday-briefing</t>
  </si>
  <si>
    <t xml:space="preserve">0 8 * * 1</t>
  </si>
  <si>
    <t xml:space="preserve">Lunes 8:00</t>
  </si>
  <si>
    <t xml:space="preserve">Briefing ejecutivo semanal: estado, victorias, drops, acciones</t>
  </si>
  <si>
    <t xml:space="preserve">Por crear</t>
  </si>
  <si>
    <t xml:space="preserve">keyword-research</t>
  </si>
  <si>
    <t xml:space="preserve">0 9 * * 3</t>
  </si>
  <si>
    <t xml:space="preserve">Miercoles 9:00</t>
  </si>
  <si>
    <t xml:space="preserve">Investigacion semanal de oportunidades (YA EXISTE)</t>
  </si>
  <si>
    <t xml:space="preserve">Activa</t>
  </si>
  <si>
    <t xml:space="preserve">weekly-seo-rank-check</t>
  </si>
  <si>
    <t xml:space="preserve">0 9 * * 1</t>
  </si>
  <si>
    <t xml:space="preserve">Lunes 9:00</t>
  </si>
  <si>
    <t xml:space="preserve">Tracking semanal de posiciones (YA EXISTE)</t>
  </si>
  <si>
    <t xml:space="preserve">autopilot-blog-weekly</t>
  </si>
  <si>
    <t xml:space="preserve">0 10 * * 2,4</t>
  </si>
  <si>
    <t xml:space="preserve">Martes y Jueves 10:00</t>
  </si>
  <si>
    <t xml:space="preserve">Trigger 2x/semana del Blog Autopilot</t>
  </si>
  <si>
    <t xml:space="preserve">content-distribution-weekly</t>
  </si>
  <si>
    <t xml:space="preserve">0 11 * * 3</t>
  </si>
  <si>
    <t xml:space="preserve">Miercoles 11:00</t>
  </si>
  <si>
    <t xml:space="preserve">Distribuir posts nuevos a 11 plataformas</t>
  </si>
  <si>
    <t xml:space="preserve">gbp-weekly-post</t>
  </si>
  <si>
    <t xml:space="preserve">0 10 * * 1</t>
  </si>
  <si>
    <t xml:space="preserve">Lunes 10:00</t>
  </si>
  <si>
    <t xml:space="preserve">Publicar en Google Business Profile</t>
  </si>
  <si>
    <t xml:space="preserve">outreach-wave</t>
  </si>
  <si>
    <t xml:space="preserve">0 10 * * 1,4</t>
  </si>
  <si>
    <t xml:space="preserve">Lunes y Jueves 10:00</t>
  </si>
  <si>
    <t xml:space="preserve">Enviar 25 emails outreach por ola</t>
  </si>
  <si>
    <t xml:space="preserve">geo-citations-check</t>
  </si>
  <si>
    <t xml:space="preserve">0 15 * * 2</t>
  </si>
  <si>
    <t xml:space="preserve">Martes 15:00</t>
  </si>
  <si>
    <t xml:space="preserve">Verificar y optimizar citas en IA (Perplexity/ChatGPT/Google AI)</t>
  </si>
  <si>
    <t xml:space="preserve">cannibalization-sweep</t>
  </si>
  <si>
    <t xml:space="preserve">0 3 * * 6</t>
  </si>
  <si>
    <t xml:space="preserve">Sabado 3:00</t>
  </si>
  <si>
    <t xml:space="preserve">Detectar y proponer fixes de canibalizacion</t>
  </si>
  <si>
    <t xml:space="preserve">cwv-healthcheck</t>
  </si>
  <si>
    <t xml:space="preserve">0 5 * * *</t>
  </si>
  <si>
    <t xml:space="preserve">Diario 5:00</t>
  </si>
  <si>
    <t xml:space="preserve">Core Web Vitals + rollback si degradacion</t>
  </si>
  <si>
    <t xml:space="preserve">competitor-watch</t>
  </si>
  <si>
    <t xml:space="preserve">0 7 * * 2,5</t>
  </si>
  <si>
    <t xml:space="preserve">Martes y Viernes 7:00</t>
  </si>
  <si>
    <t xml:space="preserve">Escanear 5 competidores (contenido, cambios, backlinks)</t>
  </si>
  <si>
    <t xml:space="preserve">reviews-request-wave</t>
  </si>
  <si>
    <t xml:space="preserve">0 18 * * 5</t>
  </si>
  <si>
    <t xml:space="preserve">Viernes 18:00</t>
  </si>
  <si>
    <t xml:space="preserve">Trigger de solicitud de reviews a reservas finalizadas</t>
  </si>
  <si>
    <t xml:space="preserve">freshness-refresh</t>
  </si>
  <si>
    <t xml:space="preserve">0 4 1 * *</t>
  </si>
  <si>
    <t xml:space="preserve">Mensual (dia 1)</t>
  </si>
  <si>
    <t xml:space="preserve">Refresh de 10 articulos decaying</t>
  </si>
  <si>
    <t xml:space="preserve">seo-monthly-report</t>
  </si>
  <si>
    <t xml:space="preserve">0 9 1 * *</t>
  </si>
  <si>
    <t xml:space="preserve">Reporte ejecutivo mensual (docx + email)</t>
  </si>
  <si>
    <t xml:space="preserve">Roadmap 180 dias — 5 Fases</t>
  </si>
  <si>
    <t xml:space="preserve">Fase</t>
  </si>
  <si>
    <t xml:space="preserve">Dias</t>
  </si>
  <si>
    <t xml:space="preserve">Nombre</t>
  </si>
  <si>
    <t xml:space="preserve">Entregables principales</t>
  </si>
  <si>
    <t xml:space="preserve">Owner</t>
  </si>
  <si>
    <t xml:space="preserve">Fase 0</t>
  </si>
  <si>
    <t xml:space="preserve">1-7</t>
  </si>
  <si>
    <t xml:space="preserve">BOOTSTRAP</t>
  </si>
  <si>
    <t xml:space="preserve">MCP publico, dashboard CRM, 14 crons programados, baseline</t>
  </si>
  <si>
    <t xml:space="preserve">Claude Code (web) + Cowork</t>
  </si>
  <si>
    <t xml:space="preserve">Fase 1</t>
  </si>
  <si>
    <t xml:space="preserve">8-30</t>
  </si>
  <si>
    <t xml:space="preserve">QUICK WINS</t>
  </si>
  <si>
    <t xml:space="preserve">Canibalizacion, refresh top 15, internal linking, orphans, 20 landings programaticas</t>
  </si>
  <si>
    <t xml:space="preserve">Autopilot</t>
  </si>
  <si>
    <t xml:space="preserve">Fase 2</t>
  </si>
  <si>
    <t xml:space="preserve">31-90</t>
  </si>
  <si>
    <t xml:space="preserve">CONTENIDO+DISTRIBUCION</t>
  </si>
  <si>
    <t xml:space="preserve">3 posts/semana + traduccion EN, 11 plataformas de distribucion, outreach 50/sem, tier 2 idiomas</t>
  </si>
  <si>
    <t xml:space="preserve">Fase 3</t>
  </si>
  <si>
    <t xml:space="preserve">91-150</t>
  </si>
  <si>
    <t xml:space="preserve">AUTORIDAD+LINKS+GEO</t>
  </si>
  <si>
    <t xml:space="preserve">Link building, colaboraciones, datos propios, GEO, knowledge graph, tier 3 idiomas, CRO</t>
  </si>
  <si>
    <t xml:space="preserve">Autopilot + usuario</t>
  </si>
  <si>
    <t xml:space="preserve">Fase 4</t>
  </si>
  <si>
    <t xml:space="preserve">151-180</t>
  </si>
  <si>
    <t xml:space="preserve">DOMINIO+DEFENSA</t>
  </si>
  <si>
    <t xml:space="preserve">Defensa rankings, refresh evergreen, cola larga, informe temporada, plan 2027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</si>
</sst>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9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0B3D9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0B3D9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A1D07E"/>
          <bgColor rgb="FF000000"/>
        </patternFill>
      </fill>
    </dxf>
    <dxf>
      <fill>
        <patternFill patternType="solid">
          <fgColor rgb="FFABD37F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C0D980"/>
          <bgColor rgb="FF000000"/>
        </patternFill>
      </fill>
    </dxf>
    <dxf>
      <fill>
        <patternFill patternType="solid">
          <fgColor rgb="FFC5DA80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D5DF81"/>
          <bgColor rgb="FF000000"/>
        </patternFill>
      </fill>
    </dxf>
    <dxf>
      <fill>
        <patternFill patternType="solid">
          <fgColor rgb="FFDFE282"/>
          <bgColor rgb="FF000000"/>
        </patternFill>
      </fill>
    </dxf>
    <dxf>
      <fill>
        <patternFill patternType="solid">
          <fgColor rgb="FFEAE582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B9D75"/>
          <bgColor rgb="FF000000"/>
        </patternFill>
      </fill>
    </dxf>
    <dxf>
      <fill>
        <patternFill patternType="solid">
          <fgColor rgb="FFFCA677"/>
          <bgColor rgb="FF000000"/>
        </patternFill>
      </fill>
    </dxf>
    <dxf>
      <fill>
        <patternFill patternType="solid">
          <fgColor rgb="FFFCAF79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D17F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E383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0</v>
      </c>
      <c r="C5" s="5" t="n">
        <v>30</v>
      </c>
      <c r="D5" s="5" t="n">
        <v>80</v>
      </c>
      <c r="E5" s="5" t="n">
        <v>0</v>
      </c>
      <c r="F5" s="5" t="n">
        <f aca="false">D5-E5</f>
        <v>80</v>
      </c>
    </row>
    <row r="6" customFormat="false" ht="15" hidden="false" customHeight="false" outlineLevel="0" collapsed="false">
      <c r="A6" s="4" t="s">
        <v>9</v>
      </c>
      <c r="B6" s="5" t="n">
        <v>0</v>
      </c>
      <c r="C6" s="5" t="n">
        <v>80</v>
      </c>
      <c r="D6" s="5" t="n">
        <v>180</v>
      </c>
      <c r="E6" s="5" t="n">
        <v>0</v>
      </c>
      <c r="F6" s="5" t="n">
        <f aca="false">D6-E6</f>
        <v>180</v>
      </c>
    </row>
    <row r="7" customFormat="false" ht="15" hidden="false" customHeight="false" outlineLevel="0" collapsed="false">
      <c r="A7" s="4" t="s">
        <v>10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f aca="false">D7-E7</f>
        <v>0</v>
      </c>
    </row>
    <row r="8" customFormat="false" ht="15" hidden="false" customHeight="false" outlineLevel="0" collapsed="false">
      <c r="A8" s="4" t="s">
        <v>11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f aca="false">D8-E8</f>
        <v>0</v>
      </c>
    </row>
    <row r="9" customFormat="false" ht="15" hidden="false" customHeight="false" outlineLevel="0" collapsed="false">
      <c r="A9" s="4" t="s">
        <v>12</v>
      </c>
      <c r="B9" s="5" t="n">
        <v>0</v>
      </c>
      <c r="C9" s="5" t="n">
        <v>15</v>
      </c>
      <c r="D9" s="5" t="n">
        <v>40</v>
      </c>
      <c r="E9" s="5" t="n">
        <v>0</v>
      </c>
      <c r="F9" s="5" t="n">
        <f aca="false">D9-E9</f>
        <v>40</v>
      </c>
    </row>
    <row r="10" customFormat="false" ht="15" hidden="false" customHeight="false" outlineLevel="0" collapsed="false">
      <c r="A10" s="4" t="s">
        <v>13</v>
      </c>
      <c r="B10" s="5" t="n">
        <v>0</v>
      </c>
      <c r="C10" s="5" t="n">
        <v>20</v>
      </c>
      <c r="D10" s="5" t="n">
        <v>60</v>
      </c>
      <c r="E10" s="5" t="n">
        <v>0</v>
      </c>
      <c r="F10" s="5" t="n">
        <f aca="false">D10-E10</f>
        <v>60</v>
      </c>
    </row>
    <row r="11" customFormat="false" ht="15" hidden="false" customHeight="false" outlineLevel="0" collapsed="false">
      <c r="A11" s="4" t="s">
        <v>14</v>
      </c>
      <c r="B11" s="5" t="n">
        <v>0</v>
      </c>
      <c r="C11" s="5" t="n">
        <v>20000</v>
      </c>
      <c r="D11" s="5" t="n">
        <v>45000</v>
      </c>
      <c r="E11" s="5" t="n">
        <v>0</v>
      </c>
      <c r="F11" s="5" t="n">
        <f aca="false">D11-E11</f>
        <v>45000</v>
      </c>
    </row>
    <row r="14" customFormat="false" ht="15" hidden="false" customHeight="false" outlineLevel="0" collapsed="false">
      <c r="A14" s="6" t="s">
        <v>15</v>
      </c>
    </row>
    <row r="15" customFormat="false" ht="15" hidden="false" customHeight="false" outlineLevel="0" collapsed="false">
      <c r="A15" s="0" t="s">
        <v>16</v>
      </c>
      <c r="B15" s="0" t="n">
        <f aca="false">COUNTA(Keywords!A2:A5000)</f>
        <v>65</v>
      </c>
    </row>
    <row r="16" customFormat="false" ht="15" hidden="false" customHeight="false" outlineLevel="0" collapsed="false">
      <c r="A16" s="0" t="s">
        <v>17</v>
      </c>
      <c r="B16" s="0" t="n">
        <f aca="false">COUNTIF(Keywords!E2:E5000,"Tier 1")</f>
        <v>12</v>
      </c>
    </row>
    <row r="17" customFormat="false" ht="15" hidden="false" customHeight="false" outlineLevel="0" collapsed="false">
      <c r="A17" s="0" t="s">
        <v>18</v>
      </c>
      <c r="B17" s="0" t="n">
        <f aca="false">COUNTIF(Keywords!C2:C5000,"A-Local-Blanes")</f>
        <v>17</v>
      </c>
    </row>
    <row r="18" customFormat="false" ht="15" hidden="false" customHeight="false" outlineLevel="0" collapsed="false">
      <c r="A18" s="0" t="s">
        <v>19</v>
      </c>
      <c r="B18" s="0" t="n">
        <f aca="false">COUNTIF(Keywords!C2:C5000,"B-Costa-Brava")</f>
        <v>14</v>
      </c>
    </row>
    <row r="19" customFormat="false" ht="15" hidden="false" customHeight="false" outlineLevel="0" collapsed="false">
      <c r="A19" s="0" t="s">
        <v>20</v>
      </c>
      <c r="B19" s="0" t="n">
        <f aca="false">COUNTIF(Keywords!C2:C5000,"C-Sin-licencia")</f>
        <v>13</v>
      </c>
    </row>
    <row r="20" customFormat="false" ht="15" hidden="false" customHeight="false" outlineLevel="0" collapsed="false">
      <c r="A20" s="0" t="s">
        <v>21</v>
      </c>
      <c r="B20" s="0" t="n">
        <f aca="false">COUNTIF(Keywords!C2:C5000,"D-Excursiones")</f>
        <v>15</v>
      </c>
    </row>
    <row r="21" customFormat="false" ht="15" hidden="false" customHeight="false" outlineLevel="0" collapsed="false">
      <c r="A21" s="0" t="s">
        <v>22</v>
      </c>
      <c r="B21" s="0" t="n">
        <f aca="false">COUNTIF(Keywords!C2:C5000,"E-Barcelona")</f>
        <v>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1" min="10" style="0" width="10"/>
    <col collapsed="false" customWidth="true" hidden="false" outlineLevel="0" max="12" min="12" style="0" width="14"/>
  </cols>
  <sheetData>
    <row r="1" customFormat="false" ht="26.8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</row>
    <row r="2" customFormat="false" ht="15" hidden="false" customHeight="false" outlineLevel="0" collapsed="false">
      <c r="A2" s="7" t="n">
        <v>1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n">
        <v>1900</v>
      </c>
      <c r="I2" s="7" t="n">
        <v>34</v>
      </c>
      <c r="J2" s="7"/>
      <c r="K2" s="7" t="n">
        <v>1</v>
      </c>
      <c r="L2" s="7" t="s">
        <v>41</v>
      </c>
    </row>
    <row r="3" customFormat="false" ht="15" hidden="false" customHeight="false" outlineLevel="0" collapsed="false">
      <c r="A3" s="7" t="n">
        <v>2</v>
      </c>
      <c r="B3" s="7" t="s">
        <v>42</v>
      </c>
      <c r="C3" s="7" t="s">
        <v>43</v>
      </c>
      <c r="D3" s="7" t="s">
        <v>37</v>
      </c>
      <c r="E3" s="7" t="s">
        <v>38</v>
      </c>
      <c r="F3" s="7" t="s">
        <v>44</v>
      </c>
      <c r="G3" s="7" t="s">
        <v>40</v>
      </c>
      <c r="H3" s="7" t="n">
        <v>720</v>
      </c>
      <c r="I3" s="7" t="n">
        <v>28</v>
      </c>
      <c r="J3" s="7"/>
      <c r="K3" s="7" t="n">
        <v>1</v>
      </c>
      <c r="L3" s="7" t="s">
        <v>41</v>
      </c>
    </row>
    <row r="4" customFormat="false" ht="15" hidden="false" customHeight="false" outlineLevel="0" collapsed="false">
      <c r="A4" s="7" t="n">
        <v>3</v>
      </c>
      <c r="B4" s="7" t="s">
        <v>45</v>
      </c>
      <c r="C4" s="7" t="s">
        <v>43</v>
      </c>
      <c r="D4" s="7" t="s">
        <v>37</v>
      </c>
      <c r="E4" s="7" t="s">
        <v>38</v>
      </c>
      <c r="F4" s="7" t="s">
        <v>46</v>
      </c>
      <c r="G4" s="7" t="s">
        <v>40</v>
      </c>
      <c r="H4" s="7" t="n">
        <v>880</v>
      </c>
      <c r="I4" s="7" t="n">
        <v>33</v>
      </c>
      <c r="J4" s="7"/>
      <c r="K4" s="7" t="n">
        <v>1</v>
      </c>
      <c r="L4" s="7" t="s">
        <v>41</v>
      </c>
    </row>
    <row r="5" customFormat="false" ht="15" hidden="false" customHeight="false" outlineLevel="0" collapsed="false">
      <c r="A5" s="7" t="n">
        <v>4</v>
      </c>
      <c r="B5" s="7" t="s">
        <v>47</v>
      </c>
      <c r="C5" s="7" t="s">
        <v>36</v>
      </c>
      <c r="D5" s="7" t="s">
        <v>48</v>
      </c>
      <c r="E5" s="7" t="s">
        <v>38</v>
      </c>
      <c r="F5" s="7" t="s">
        <v>49</v>
      </c>
      <c r="G5" s="7" t="s">
        <v>40</v>
      </c>
      <c r="H5" s="7" t="n">
        <v>880</v>
      </c>
      <c r="I5" s="7" t="n">
        <v>32</v>
      </c>
      <c r="J5" s="7"/>
      <c r="K5" s="7" t="n">
        <v>1</v>
      </c>
      <c r="L5" s="7" t="s">
        <v>41</v>
      </c>
    </row>
    <row r="6" customFormat="false" ht="15" hidden="false" customHeight="false" outlineLevel="0" collapsed="false">
      <c r="A6" s="7" t="n">
        <v>5</v>
      </c>
      <c r="B6" s="7" t="s">
        <v>50</v>
      </c>
      <c r="C6" s="7" t="s">
        <v>51</v>
      </c>
      <c r="D6" s="7" t="s">
        <v>48</v>
      </c>
      <c r="E6" s="7" t="s">
        <v>38</v>
      </c>
      <c r="F6" s="7" t="s">
        <v>52</v>
      </c>
      <c r="G6" s="7" t="s">
        <v>40</v>
      </c>
      <c r="H6" s="7" t="n">
        <v>2400</v>
      </c>
      <c r="I6" s="7" t="n">
        <v>48</v>
      </c>
      <c r="J6" s="7"/>
      <c r="K6" s="7" t="n">
        <v>3</v>
      </c>
      <c r="L6" s="7" t="s">
        <v>41</v>
      </c>
    </row>
    <row r="7" customFormat="false" ht="15" hidden="false" customHeight="false" outlineLevel="0" collapsed="false">
      <c r="A7" s="7" t="n">
        <v>6</v>
      </c>
      <c r="B7" s="7" t="s">
        <v>53</v>
      </c>
      <c r="C7" s="7" t="s">
        <v>43</v>
      </c>
      <c r="D7" s="7" t="s">
        <v>48</v>
      </c>
      <c r="E7" s="7" t="s">
        <v>38</v>
      </c>
      <c r="F7" s="7" t="s">
        <v>54</v>
      </c>
      <c r="G7" s="7" t="s">
        <v>40</v>
      </c>
      <c r="H7" s="7" t="n">
        <v>480</v>
      </c>
      <c r="I7" s="7" t="n">
        <v>30</v>
      </c>
      <c r="J7" s="7"/>
      <c r="K7" s="7" t="n">
        <v>1</v>
      </c>
      <c r="L7" s="7" t="s">
        <v>41</v>
      </c>
    </row>
    <row r="8" customFormat="false" ht="15" hidden="false" customHeight="false" outlineLevel="0" collapsed="false">
      <c r="A8" s="7" t="n">
        <v>7</v>
      </c>
      <c r="B8" s="7" t="s">
        <v>55</v>
      </c>
      <c r="C8" s="7" t="s">
        <v>36</v>
      </c>
      <c r="D8" s="7" t="s">
        <v>56</v>
      </c>
      <c r="E8" s="7" t="s">
        <v>38</v>
      </c>
      <c r="F8" s="7" t="s">
        <v>57</v>
      </c>
      <c r="G8" s="7" t="s">
        <v>40</v>
      </c>
      <c r="H8" s="7" t="n">
        <v>140</v>
      </c>
      <c r="I8" s="7" t="n">
        <v>18</v>
      </c>
      <c r="J8" s="7"/>
      <c r="K8" s="7" t="n">
        <v>1</v>
      </c>
      <c r="L8" s="7" t="s">
        <v>41</v>
      </c>
    </row>
    <row r="9" customFormat="false" ht="15" hidden="false" customHeight="false" outlineLevel="0" collapsed="false">
      <c r="A9" s="7" t="n">
        <v>8</v>
      </c>
      <c r="B9" s="7" t="s">
        <v>58</v>
      </c>
      <c r="C9" s="7" t="s">
        <v>36</v>
      </c>
      <c r="D9" s="7" t="s">
        <v>59</v>
      </c>
      <c r="E9" s="7" t="s">
        <v>38</v>
      </c>
      <c r="F9" s="7" t="s">
        <v>60</v>
      </c>
      <c r="G9" s="7" t="s">
        <v>40</v>
      </c>
      <c r="H9" s="7" t="n">
        <v>260</v>
      </c>
      <c r="I9" s="7" t="n">
        <v>24</v>
      </c>
      <c r="J9" s="7"/>
      <c r="K9" s="7" t="n">
        <v>1</v>
      </c>
      <c r="L9" s="7" t="s">
        <v>41</v>
      </c>
    </row>
    <row r="10" customFormat="false" ht="15" hidden="false" customHeight="false" outlineLevel="0" collapsed="false">
      <c r="A10" s="7" t="n">
        <v>9</v>
      </c>
      <c r="B10" s="7" t="s">
        <v>61</v>
      </c>
      <c r="C10" s="7" t="s">
        <v>36</v>
      </c>
      <c r="D10" s="7" t="s">
        <v>62</v>
      </c>
      <c r="E10" s="7" t="s">
        <v>38</v>
      </c>
      <c r="F10" s="7" t="s">
        <v>63</v>
      </c>
      <c r="G10" s="7" t="s">
        <v>40</v>
      </c>
      <c r="H10" s="7" t="n">
        <v>210</v>
      </c>
      <c r="I10" s="7" t="n">
        <v>22</v>
      </c>
      <c r="J10" s="7"/>
      <c r="K10" s="7" t="n">
        <v>1</v>
      </c>
      <c r="L10" s="7" t="s">
        <v>41</v>
      </c>
    </row>
    <row r="11" customFormat="false" ht="15" hidden="false" customHeight="false" outlineLevel="0" collapsed="false">
      <c r="A11" s="7" t="n">
        <v>10</v>
      </c>
      <c r="B11" s="7" t="s">
        <v>64</v>
      </c>
      <c r="C11" s="7" t="s">
        <v>65</v>
      </c>
      <c r="D11" s="7" t="s">
        <v>48</v>
      </c>
      <c r="E11" s="7" t="s">
        <v>38</v>
      </c>
      <c r="F11" s="7" t="s">
        <v>66</v>
      </c>
      <c r="G11" s="7" t="s">
        <v>40</v>
      </c>
      <c r="H11" s="7" t="n">
        <v>1600</v>
      </c>
      <c r="I11" s="7" t="n">
        <v>46</v>
      </c>
      <c r="J11" s="7"/>
      <c r="K11" s="7" t="n">
        <v>3</v>
      </c>
      <c r="L11" s="7" t="s">
        <v>41</v>
      </c>
    </row>
    <row r="12" customFormat="false" ht="15" hidden="false" customHeight="false" outlineLevel="0" collapsed="false">
      <c r="A12" s="7" t="n">
        <v>11</v>
      </c>
      <c r="B12" s="7" t="s">
        <v>67</v>
      </c>
      <c r="C12" s="7" t="s">
        <v>65</v>
      </c>
      <c r="D12" s="7" t="s">
        <v>37</v>
      </c>
      <c r="E12" s="7" t="s">
        <v>38</v>
      </c>
      <c r="F12" s="7" t="s">
        <v>68</v>
      </c>
      <c r="G12" s="7" t="s">
        <v>40</v>
      </c>
      <c r="H12" s="7" t="n">
        <v>1100</v>
      </c>
      <c r="I12" s="7" t="n">
        <v>40</v>
      </c>
      <c r="J12" s="7"/>
      <c r="K12" s="7" t="n">
        <v>3</v>
      </c>
      <c r="L12" s="7" t="s">
        <v>41</v>
      </c>
    </row>
    <row r="13" customFormat="false" ht="15" hidden="false" customHeight="false" outlineLevel="0" collapsed="false">
      <c r="A13" s="7" t="n">
        <v>12</v>
      </c>
      <c r="B13" s="7" t="s">
        <v>69</v>
      </c>
      <c r="C13" s="7" t="s">
        <v>70</v>
      </c>
      <c r="D13" s="7" t="s">
        <v>37</v>
      </c>
      <c r="E13" s="7" t="s">
        <v>38</v>
      </c>
      <c r="F13" s="7" t="s">
        <v>71</v>
      </c>
      <c r="G13" s="7" t="s">
        <v>40</v>
      </c>
      <c r="H13" s="7" t="n">
        <v>590</v>
      </c>
      <c r="I13" s="7" t="n">
        <v>26</v>
      </c>
      <c r="J13" s="7"/>
      <c r="K13" s="7" t="n">
        <v>1</v>
      </c>
      <c r="L13" s="7" t="s">
        <v>41</v>
      </c>
    </row>
    <row r="14" customFormat="false" ht="15" hidden="false" customHeight="false" outlineLevel="0" collapsed="false">
      <c r="A14" s="5" t="n">
        <v>13</v>
      </c>
      <c r="B14" s="5" t="s">
        <v>72</v>
      </c>
      <c r="C14" s="5" t="s">
        <v>36</v>
      </c>
      <c r="D14" s="5" t="s">
        <v>37</v>
      </c>
      <c r="E14" s="5" t="s">
        <v>73</v>
      </c>
      <c r="F14" s="5" t="s">
        <v>39</v>
      </c>
      <c r="G14" s="5" t="s">
        <v>40</v>
      </c>
      <c r="H14" s="5" t="n">
        <v>320</v>
      </c>
      <c r="I14" s="5" t="n">
        <v>22</v>
      </c>
      <c r="J14" s="5"/>
      <c r="K14" s="5" t="n">
        <v>3</v>
      </c>
      <c r="L14" s="5" t="s">
        <v>41</v>
      </c>
    </row>
    <row r="15" customFormat="false" ht="15" hidden="false" customHeight="false" outlineLevel="0" collapsed="false">
      <c r="A15" s="5" t="n">
        <v>14</v>
      </c>
      <c r="B15" s="5" t="s">
        <v>74</v>
      </c>
      <c r="C15" s="5" t="s">
        <v>36</v>
      </c>
      <c r="D15" s="5" t="s">
        <v>37</v>
      </c>
      <c r="E15" s="5" t="s">
        <v>73</v>
      </c>
      <c r="F15" s="5" t="s">
        <v>39</v>
      </c>
      <c r="G15" s="5" t="s">
        <v>40</v>
      </c>
      <c r="H15" s="5" t="n">
        <v>140</v>
      </c>
      <c r="I15" s="5" t="n">
        <v>18</v>
      </c>
      <c r="J15" s="5"/>
      <c r="K15" s="5" t="n">
        <v>3</v>
      </c>
      <c r="L15" s="5" t="s">
        <v>41</v>
      </c>
    </row>
    <row r="16" customFormat="false" ht="15" hidden="false" customHeight="false" outlineLevel="0" collapsed="false">
      <c r="A16" s="5" t="n">
        <v>15</v>
      </c>
      <c r="B16" s="5" t="s">
        <v>75</v>
      </c>
      <c r="C16" s="5" t="s">
        <v>36</v>
      </c>
      <c r="D16" s="5" t="s">
        <v>37</v>
      </c>
      <c r="E16" s="5" t="s">
        <v>73</v>
      </c>
      <c r="F16" s="5" t="s">
        <v>39</v>
      </c>
      <c r="G16" s="5" t="s">
        <v>40</v>
      </c>
      <c r="H16" s="5" t="n">
        <v>170</v>
      </c>
      <c r="I16" s="5" t="n">
        <v>19</v>
      </c>
      <c r="J16" s="5"/>
      <c r="K16" s="5" t="n">
        <v>3</v>
      </c>
      <c r="L16" s="5" t="s">
        <v>41</v>
      </c>
    </row>
    <row r="17" customFormat="false" ht="15" hidden="false" customHeight="false" outlineLevel="0" collapsed="false">
      <c r="A17" s="5" t="n">
        <v>16</v>
      </c>
      <c r="B17" s="5" t="s">
        <v>76</v>
      </c>
      <c r="C17" s="5" t="s">
        <v>36</v>
      </c>
      <c r="D17" s="5" t="s">
        <v>48</v>
      </c>
      <c r="E17" s="5" t="s">
        <v>73</v>
      </c>
      <c r="F17" s="5" t="s">
        <v>49</v>
      </c>
      <c r="G17" s="5" t="s">
        <v>40</v>
      </c>
      <c r="H17" s="5" t="n">
        <v>590</v>
      </c>
      <c r="I17" s="5" t="n">
        <v>30</v>
      </c>
      <c r="J17" s="5"/>
      <c r="K17" s="5" t="n">
        <v>3</v>
      </c>
      <c r="L17" s="5" t="s">
        <v>41</v>
      </c>
    </row>
    <row r="18" customFormat="false" ht="15" hidden="false" customHeight="false" outlineLevel="0" collapsed="false">
      <c r="A18" s="5" t="n">
        <v>17</v>
      </c>
      <c r="B18" s="5" t="s">
        <v>77</v>
      </c>
      <c r="C18" s="5" t="s">
        <v>36</v>
      </c>
      <c r="D18" s="5" t="s">
        <v>48</v>
      </c>
      <c r="E18" s="5" t="s">
        <v>73</v>
      </c>
      <c r="F18" s="5" t="s">
        <v>78</v>
      </c>
      <c r="G18" s="5" t="s">
        <v>40</v>
      </c>
      <c r="H18" s="5" t="n">
        <v>210</v>
      </c>
      <c r="I18" s="5" t="n">
        <v>22</v>
      </c>
      <c r="J18" s="5"/>
      <c r="K18" s="5" t="n">
        <v>3</v>
      </c>
      <c r="L18" s="5" t="s">
        <v>41</v>
      </c>
    </row>
    <row r="19" customFormat="false" ht="15" hidden="false" customHeight="false" outlineLevel="0" collapsed="false">
      <c r="A19" s="5" t="n">
        <v>18</v>
      </c>
      <c r="B19" s="5" t="s">
        <v>79</v>
      </c>
      <c r="C19" s="5" t="s">
        <v>36</v>
      </c>
      <c r="D19" s="5" t="s">
        <v>56</v>
      </c>
      <c r="E19" s="5" t="s">
        <v>73</v>
      </c>
      <c r="F19" s="5" t="s">
        <v>57</v>
      </c>
      <c r="G19" s="5" t="s">
        <v>40</v>
      </c>
      <c r="H19" s="5" t="n">
        <v>90</v>
      </c>
      <c r="I19" s="5" t="n">
        <v>15</v>
      </c>
      <c r="J19" s="5"/>
      <c r="K19" s="5" t="n">
        <v>3</v>
      </c>
      <c r="L19" s="5" t="s">
        <v>41</v>
      </c>
    </row>
    <row r="20" customFormat="false" ht="15" hidden="false" customHeight="false" outlineLevel="0" collapsed="false">
      <c r="A20" s="5" t="n">
        <v>19</v>
      </c>
      <c r="B20" s="5" t="s">
        <v>80</v>
      </c>
      <c r="C20" s="5" t="s">
        <v>36</v>
      </c>
      <c r="D20" s="5" t="s">
        <v>59</v>
      </c>
      <c r="E20" s="5" t="s">
        <v>73</v>
      </c>
      <c r="F20" s="5" t="s">
        <v>60</v>
      </c>
      <c r="G20" s="5" t="s">
        <v>40</v>
      </c>
      <c r="H20" s="5" t="n">
        <v>140</v>
      </c>
      <c r="I20" s="5" t="n">
        <v>20</v>
      </c>
      <c r="J20" s="5"/>
      <c r="K20" s="5" t="n">
        <v>3</v>
      </c>
      <c r="L20" s="5" t="s">
        <v>41</v>
      </c>
    </row>
    <row r="21" customFormat="false" ht="15" hidden="false" customHeight="false" outlineLevel="0" collapsed="false">
      <c r="A21" s="5" t="n">
        <v>20</v>
      </c>
      <c r="B21" s="5" t="s">
        <v>81</v>
      </c>
      <c r="C21" s="5" t="s">
        <v>36</v>
      </c>
      <c r="D21" s="5" t="s">
        <v>62</v>
      </c>
      <c r="E21" s="5" t="s">
        <v>73</v>
      </c>
      <c r="F21" s="5" t="s">
        <v>63</v>
      </c>
      <c r="G21" s="5" t="s">
        <v>40</v>
      </c>
      <c r="H21" s="5" t="n">
        <v>170</v>
      </c>
      <c r="I21" s="5" t="n">
        <v>22</v>
      </c>
      <c r="J21" s="5"/>
      <c r="K21" s="5" t="n">
        <v>3</v>
      </c>
      <c r="L21" s="5" t="s">
        <v>41</v>
      </c>
    </row>
    <row r="22" customFormat="false" ht="15" hidden="false" customHeight="false" outlineLevel="0" collapsed="false">
      <c r="A22" s="5" t="n">
        <v>21</v>
      </c>
      <c r="B22" s="5" t="s">
        <v>82</v>
      </c>
      <c r="C22" s="5" t="s">
        <v>36</v>
      </c>
      <c r="D22" s="5" t="s">
        <v>83</v>
      </c>
      <c r="E22" s="5" t="s">
        <v>73</v>
      </c>
      <c r="F22" s="5" t="s">
        <v>84</v>
      </c>
      <c r="G22" s="5" t="s">
        <v>40</v>
      </c>
      <c r="H22" s="5" t="n">
        <v>110</v>
      </c>
      <c r="I22" s="5" t="n">
        <v>18</v>
      </c>
      <c r="J22" s="5"/>
      <c r="K22" s="5" t="n">
        <v>3</v>
      </c>
      <c r="L22" s="5" t="s">
        <v>41</v>
      </c>
    </row>
    <row r="23" customFormat="false" ht="15" hidden="false" customHeight="false" outlineLevel="0" collapsed="false">
      <c r="A23" s="5" t="n">
        <v>22</v>
      </c>
      <c r="B23" s="5" t="s">
        <v>85</v>
      </c>
      <c r="C23" s="5" t="s">
        <v>36</v>
      </c>
      <c r="D23" s="5" t="s">
        <v>86</v>
      </c>
      <c r="E23" s="5" t="s">
        <v>73</v>
      </c>
      <c r="F23" s="5" t="s">
        <v>87</v>
      </c>
      <c r="G23" s="5" t="s">
        <v>40</v>
      </c>
      <c r="H23" s="5" t="n">
        <v>90</v>
      </c>
      <c r="I23" s="5" t="n">
        <v>16</v>
      </c>
      <c r="J23" s="5"/>
      <c r="K23" s="5" t="n">
        <v>3</v>
      </c>
      <c r="L23" s="5" t="s">
        <v>41</v>
      </c>
    </row>
    <row r="24" customFormat="false" ht="15" hidden="false" customHeight="false" outlineLevel="0" collapsed="false">
      <c r="A24" s="5" t="n">
        <v>23</v>
      </c>
      <c r="B24" s="5" t="s">
        <v>88</v>
      </c>
      <c r="C24" s="5" t="s">
        <v>36</v>
      </c>
      <c r="D24" s="5" t="s">
        <v>89</v>
      </c>
      <c r="E24" s="5" t="s">
        <v>73</v>
      </c>
      <c r="F24" s="5" t="s">
        <v>90</v>
      </c>
      <c r="G24" s="5" t="s">
        <v>40</v>
      </c>
      <c r="H24" s="5" t="n">
        <v>40</v>
      </c>
      <c r="I24" s="5" t="n">
        <v>10</v>
      </c>
      <c r="J24" s="5"/>
      <c r="K24" s="5" t="n">
        <v>3</v>
      </c>
      <c r="L24" s="5" t="s">
        <v>41</v>
      </c>
    </row>
    <row r="25" customFormat="false" ht="15" hidden="false" customHeight="false" outlineLevel="0" collapsed="false">
      <c r="A25" s="5" t="n">
        <v>24</v>
      </c>
      <c r="B25" s="5" t="s">
        <v>91</v>
      </c>
      <c r="C25" s="5" t="s">
        <v>51</v>
      </c>
      <c r="D25" s="5" t="s">
        <v>37</v>
      </c>
      <c r="E25" s="5" t="s">
        <v>73</v>
      </c>
      <c r="F25" s="5" t="s">
        <v>92</v>
      </c>
      <c r="G25" s="5" t="s">
        <v>40</v>
      </c>
      <c r="H25" s="5" t="n">
        <v>1900</v>
      </c>
      <c r="I25" s="5" t="n">
        <v>42</v>
      </c>
      <c r="J25" s="5"/>
      <c r="K25" s="5" t="n">
        <v>3</v>
      </c>
      <c r="L25" s="5" t="s">
        <v>41</v>
      </c>
    </row>
    <row r="26" customFormat="false" ht="15" hidden="false" customHeight="false" outlineLevel="0" collapsed="false">
      <c r="A26" s="5" t="n">
        <v>25</v>
      </c>
      <c r="B26" s="5" t="s">
        <v>93</v>
      </c>
      <c r="C26" s="5" t="s">
        <v>51</v>
      </c>
      <c r="D26" s="5" t="s">
        <v>37</v>
      </c>
      <c r="E26" s="5" t="s">
        <v>73</v>
      </c>
      <c r="F26" s="5" t="s">
        <v>94</v>
      </c>
      <c r="G26" s="5" t="s">
        <v>40</v>
      </c>
      <c r="H26" s="5" t="n">
        <v>590</v>
      </c>
      <c r="I26" s="5" t="n">
        <v>30</v>
      </c>
      <c r="J26" s="5"/>
      <c r="K26" s="5" t="n">
        <v>3</v>
      </c>
      <c r="L26" s="5" t="s">
        <v>41</v>
      </c>
    </row>
    <row r="27" customFormat="false" ht="15" hidden="false" customHeight="false" outlineLevel="0" collapsed="false">
      <c r="A27" s="5" t="n">
        <v>26</v>
      </c>
      <c r="B27" s="5" t="s">
        <v>95</v>
      </c>
      <c r="C27" s="5" t="s">
        <v>51</v>
      </c>
      <c r="D27" s="5" t="s">
        <v>37</v>
      </c>
      <c r="E27" s="5" t="s">
        <v>73</v>
      </c>
      <c r="F27" s="5" t="s">
        <v>96</v>
      </c>
      <c r="G27" s="5" t="s">
        <v>40</v>
      </c>
      <c r="H27" s="5" t="n">
        <v>480</v>
      </c>
      <c r="I27" s="5" t="n">
        <v>28</v>
      </c>
      <c r="J27" s="5"/>
      <c r="K27" s="5" t="n">
        <v>3</v>
      </c>
      <c r="L27" s="5" t="s">
        <v>41</v>
      </c>
    </row>
    <row r="28" customFormat="false" ht="15" hidden="false" customHeight="false" outlineLevel="0" collapsed="false">
      <c r="A28" s="5" t="n">
        <v>27</v>
      </c>
      <c r="B28" s="5" t="s">
        <v>97</v>
      </c>
      <c r="C28" s="5" t="s">
        <v>51</v>
      </c>
      <c r="D28" s="5" t="s">
        <v>48</v>
      </c>
      <c r="E28" s="5" t="s">
        <v>73</v>
      </c>
      <c r="F28" s="5" t="s">
        <v>98</v>
      </c>
      <c r="G28" s="5" t="s">
        <v>40</v>
      </c>
      <c r="H28" s="5" t="n">
        <v>320</v>
      </c>
      <c r="I28" s="5" t="n">
        <v>24</v>
      </c>
      <c r="J28" s="5"/>
      <c r="K28" s="5" t="n">
        <v>3</v>
      </c>
      <c r="L28" s="5" t="s">
        <v>41</v>
      </c>
    </row>
    <row r="29" customFormat="false" ht="15" hidden="false" customHeight="false" outlineLevel="0" collapsed="false">
      <c r="A29" s="5" t="n">
        <v>28</v>
      </c>
      <c r="B29" s="5" t="s">
        <v>99</v>
      </c>
      <c r="C29" s="5" t="s">
        <v>51</v>
      </c>
      <c r="D29" s="5" t="s">
        <v>48</v>
      </c>
      <c r="E29" s="5" t="s">
        <v>73</v>
      </c>
      <c r="F29" s="5" t="s">
        <v>52</v>
      </c>
      <c r="G29" s="5" t="s">
        <v>40</v>
      </c>
      <c r="H29" s="5" t="n">
        <v>880</v>
      </c>
      <c r="I29" s="5" t="n">
        <v>40</v>
      </c>
      <c r="J29" s="5"/>
      <c r="K29" s="5" t="n">
        <v>5</v>
      </c>
      <c r="L29" s="5" t="s">
        <v>41</v>
      </c>
    </row>
    <row r="30" customFormat="false" ht="15" hidden="false" customHeight="false" outlineLevel="0" collapsed="false">
      <c r="A30" s="5" t="n">
        <v>29</v>
      </c>
      <c r="B30" s="5" t="s">
        <v>100</v>
      </c>
      <c r="C30" s="5" t="s">
        <v>51</v>
      </c>
      <c r="D30" s="5" t="s">
        <v>56</v>
      </c>
      <c r="E30" s="5" t="s">
        <v>73</v>
      </c>
      <c r="F30" s="5" t="s">
        <v>101</v>
      </c>
      <c r="G30" s="5" t="s">
        <v>40</v>
      </c>
      <c r="H30" s="5" t="n">
        <v>110</v>
      </c>
      <c r="I30" s="5" t="n">
        <v>18</v>
      </c>
      <c r="J30" s="5"/>
      <c r="K30" s="5" t="n">
        <v>3</v>
      </c>
      <c r="L30" s="5" t="s">
        <v>41</v>
      </c>
    </row>
    <row r="31" customFormat="false" ht="15" hidden="false" customHeight="false" outlineLevel="0" collapsed="false">
      <c r="A31" s="5" t="n">
        <v>30</v>
      </c>
      <c r="B31" s="5" t="s">
        <v>102</v>
      </c>
      <c r="C31" s="5" t="s">
        <v>51</v>
      </c>
      <c r="D31" s="5" t="s">
        <v>59</v>
      </c>
      <c r="E31" s="5" t="s">
        <v>73</v>
      </c>
      <c r="F31" s="5" t="s">
        <v>103</v>
      </c>
      <c r="G31" s="5" t="s">
        <v>40</v>
      </c>
      <c r="H31" s="5" t="n">
        <v>720</v>
      </c>
      <c r="I31" s="5" t="n">
        <v>35</v>
      </c>
      <c r="J31" s="5"/>
      <c r="K31" s="5" t="n">
        <v>5</v>
      </c>
      <c r="L31" s="5" t="s">
        <v>41</v>
      </c>
    </row>
    <row r="32" customFormat="false" ht="15" hidden="false" customHeight="false" outlineLevel="0" collapsed="false">
      <c r="A32" s="5" t="n">
        <v>31</v>
      </c>
      <c r="B32" s="5" t="s">
        <v>104</v>
      </c>
      <c r="C32" s="5" t="s">
        <v>51</v>
      </c>
      <c r="D32" s="5" t="s">
        <v>62</v>
      </c>
      <c r="E32" s="5" t="s">
        <v>73</v>
      </c>
      <c r="F32" s="5" t="s">
        <v>105</v>
      </c>
      <c r="G32" s="5" t="s">
        <v>40</v>
      </c>
      <c r="H32" s="5" t="n">
        <v>480</v>
      </c>
      <c r="I32" s="5" t="n">
        <v>30</v>
      </c>
      <c r="J32" s="5"/>
      <c r="K32" s="5" t="n">
        <v>5</v>
      </c>
      <c r="L32" s="5" t="s">
        <v>41</v>
      </c>
    </row>
    <row r="33" customFormat="false" ht="15" hidden="false" customHeight="false" outlineLevel="0" collapsed="false">
      <c r="A33" s="5" t="n">
        <v>32</v>
      </c>
      <c r="B33" s="5" t="s">
        <v>106</v>
      </c>
      <c r="C33" s="5" t="s">
        <v>43</v>
      </c>
      <c r="D33" s="5" t="s">
        <v>37</v>
      </c>
      <c r="E33" s="5" t="s">
        <v>73</v>
      </c>
      <c r="F33" s="5" t="s">
        <v>107</v>
      </c>
      <c r="G33" s="5" t="s">
        <v>40</v>
      </c>
      <c r="H33" s="5" t="n">
        <v>4400</v>
      </c>
      <c r="I33" s="5" t="n">
        <v>52</v>
      </c>
      <c r="J33" s="5"/>
      <c r="K33" s="5" t="n">
        <v>5</v>
      </c>
      <c r="L33" s="5" t="s">
        <v>41</v>
      </c>
    </row>
    <row r="34" customFormat="false" ht="15" hidden="false" customHeight="false" outlineLevel="0" collapsed="false">
      <c r="A34" s="5" t="n">
        <v>33</v>
      </c>
      <c r="B34" s="5" t="s">
        <v>108</v>
      </c>
      <c r="C34" s="5" t="s">
        <v>43</v>
      </c>
      <c r="D34" s="5" t="s">
        <v>37</v>
      </c>
      <c r="E34" s="5" t="s">
        <v>73</v>
      </c>
      <c r="F34" s="5" t="s">
        <v>107</v>
      </c>
      <c r="G34" s="5" t="s">
        <v>40</v>
      </c>
      <c r="H34" s="5" t="n">
        <v>1300</v>
      </c>
      <c r="I34" s="5" t="n">
        <v>38</v>
      </c>
      <c r="J34" s="5"/>
      <c r="K34" s="5" t="n">
        <v>3</v>
      </c>
      <c r="L34" s="5" t="s">
        <v>41</v>
      </c>
    </row>
    <row r="35" customFormat="false" ht="15" hidden="false" customHeight="false" outlineLevel="0" collapsed="false">
      <c r="A35" s="5" t="n">
        <v>34</v>
      </c>
      <c r="B35" s="5" t="s">
        <v>109</v>
      </c>
      <c r="C35" s="5" t="s">
        <v>43</v>
      </c>
      <c r="D35" s="5" t="s">
        <v>37</v>
      </c>
      <c r="E35" s="5" t="s">
        <v>73</v>
      </c>
      <c r="F35" s="5" t="s">
        <v>110</v>
      </c>
      <c r="G35" s="5" t="s">
        <v>111</v>
      </c>
      <c r="H35" s="5" t="n">
        <v>880</v>
      </c>
      <c r="I35" s="5" t="n">
        <v>30</v>
      </c>
      <c r="J35" s="5"/>
      <c r="K35" s="5" t="n">
        <v>3</v>
      </c>
      <c r="L35" s="5" t="s">
        <v>41</v>
      </c>
    </row>
    <row r="36" customFormat="false" ht="15" hidden="false" customHeight="false" outlineLevel="0" collapsed="false">
      <c r="A36" s="5" t="n">
        <v>35</v>
      </c>
      <c r="B36" s="5" t="s">
        <v>112</v>
      </c>
      <c r="C36" s="5" t="s">
        <v>43</v>
      </c>
      <c r="D36" s="5" t="s">
        <v>48</v>
      </c>
      <c r="E36" s="5" t="s">
        <v>73</v>
      </c>
      <c r="F36" s="5" t="s">
        <v>54</v>
      </c>
      <c r="G36" s="5" t="s">
        <v>40</v>
      </c>
      <c r="H36" s="5" t="n">
        <v>390</v>
      </c>
      <c r="I36" s="5" t="n">
        <v>28</v>
      </c>
      <c r="J36" s="5"/>
      <c r="K36" s="5" t="n">
        <v>3</v>
      </c>
      <c r="L36" s="5" t="s">
        <v>41</v>
      </c>
    </row>
    <row r="37" customFormat="false" ht="15" hidden="false" customHeight="false" outlineLevel="0" collapsed="false">
      <c r="A37" s="5" t="n">
        <v>36</v>
      </c>
      <c r="B37" s="5" t="s">
        <v>113</v>
      </c>
      <c r="C37" s="5" t="s">
        <v>43</v>
      </c>
      <c r="D37" s="5" t="s">
        <v>59</v>
      </c>
      <c r="E37" s="5" t="s">
        <v>73</v>
      </c>
      <c r="F37" s="5" t="s">
        <v>114</v>
      </c>
      <c r="G37" s="5" t="s">
        <v>40</v>
      </c>
      <c r="H37" s="5" t="n">
        <v>480</v>
      </c>
      <c r="I37" s="5" t="n">
        <v>30</v>
      </c>
      <c r="J37" s="5"/>
      <c r="K37" s="5" t="n">
        <v>3</v>
      </c>
      <c r="L37" s="5" t="s">
        <v>41</v>
      </c>
    </row>
    <row r="38" customFormat="false" ht="15" hidden="false" customHeight="false" outlineLevel="0" collapsed="false">
      <c r="A38" s="5" t="n">
        <v>37</v>
      </c>
      <c r="B38" s="5" t="s">
        <v>115</v>
      </c>
      <c r="C38" s="5" t="s">
        <v>43</v>
      </c>
      <c r="D38" s="5" t="s">
        <v>62</v>
      </c>
      <c r="E38" s="5" t="s">
        <v>73</v>
      </c>
      <c r="F38" s="5" t="s">
        <v>116</v>
      </c>
      <c r="G38" s="5" t="s">
        <v>40</v>
      </c>
      <c r="H38" s="5" t="n">
        <v>210</v>
      </c>
      <c r="I38" s="5" t="n">
        <v>20</v>
      </c>
      <c r="J38" s="5"/>
      <c r="K38" s="5" t="n">
        <v>3</v>
      </c>
      <c r="L38" s="5" t="s">
        <v>41</v>
      </c>
    </row>
    <row r="39" customFormat="false" ht="15" hidden="false" customHeight="false" outlineLevel="0" collapsed="false">
      <c r="A39" s="5" t="n">
        <v>38</v>
      </c>
      <c r="B39" s="5" t="s">
        <v>117</v>
      </c>
      <c r="C39" s="5" t="s">
        <v>70</v>
      </c>
      <c r="D39" s="5" t="s">
        <v>37</v>
      </c>
      <c r="E39" s="5" t="s">
        <v>73</v>
      </c>
      <c r="F39" s="5" t="s">
        <v>118</v>
      </c>
      <c r="G39" s="5" t="s">
        <v>111</v>
      </c>
      <c r="H39" s="5" t="n">
        <v>210</v>
      </c>
      <c r="I39" s="5" t="n">
        <v>22</v>
      </c>
      <c r="J39" s="5"/>
      <c r="K39" s="5" t="n">
        <v>3</v>
      </c>
      <c r="L39" s="5" t="s">
        <v>41</v>
      </c>
    </row>
    <row r="40" customFormat="false" ht="15" hidden="false" customHeight="false" outlineLevel="0" collapsed="false">
      <c r="A40" s="5" t="n">
        <v>39</v>
      </c>
      <c r="B40" s="5" t="s">
        <v>119</v>
      </c>
      <c r="C40" s="5" t="s">
        <v>70</v>
      </c>
      <c r="D40" s="5" t="s">
        <v>37</v>
      </c>
      <c r="E40" s="5" t="s">
        <v>73</v>
      </c>
      <c r="F40" s="5" t="s">
        <v>120</v>
      </c>
      <c r="G40" s="5" t="s">
        <v>111</v>
      </c>
      <c r="H40" s="5" t="n">
        <v>90</v>
      </c>
      <c r="I40" s="5" t="n">
        <v>15</v>
      </c>
      <c r="J40" s="5"/>
      <c r="K40" s="5" t="n">
        <v>3</v>
      </c>
      <c r="L40" s="5" t="s">
        <v>41</v>
      </c>
    </row>
    <row r="41" customFormat="false" ht="15" hidden="false" customHeight="false" outlineLevel="0" collapsed="false">
      <c r="A41" s="5" t="n">
        <v>40</v>
      </c>
      <c r="B41" s="5" t="s">
        <v>121</v>
      </c>
      <c r="C41" s="5" t="s">
        <v>70</v>
      </c>
      <c r="D41" s="5" t="s">
        <v>37</v>
      </c>
      <c r="E41" s="5" t="s">
        <v>73</v>
      </c>
      <c r="F41" s="5" t="s">
        <v>122</v>
      </c>
      <c r="G41" s="5" t="s">
        <v>111</v>
      </c>
      <c r="H41" s="5" t="n">
        <v>140</v>
      </c>
      <c r="I41" s="5" t="n">
        <v>18</v>
      </c>
      <c r="J41" s="5"/>
      <c r="K41" s="5" t="n">
        <v>3</v>
      </c>
      <c r="L41" s="5" t="s">
        <v>41</v>
      </c>
    </row>
    <row r="42" customFormat="false" ht="15" hidden="false" customHeight="false" outlineLevel="0" collapsed="false">
      <c r="A42" s="5" t="n">
        <v>41</v>
      </c>
      <c r="B42" s="5" t="s">
        <v>123</v>
      </c>
      <c r="C42" s="5" t="s">
        <v>70</v>
      </c>
      <c r="D42" s="5" t="s">
        <v>37</v>
      </c>
      <c r="E42" s="5" t="s">
        <v>73</v>
      </c>
      <c r="F42" s="5" t="s">
        <v>124</v>
      </c>
      <c r="G42" s="5" t="s">
        <v>111</v>
      </c>
      <c r="H42" s="5" t="n">
        <v>720</v>
      </c>
      <c r="I42" s="5" t="n">
        <v>30</v>
      </c>
      <c r="J42" s="5"/>
      <c r="K42" s="5" t="n">
        <v>3</v>
      </c>
      <c r="L42" s="5" t="s">
        <v>41</v>
      </c>
    </row>
    <row r="43" customFormat="false" ht="15" hidden="false" customHeight="false" outlineLevel="0" collapsed="false">
      <c r="A43" s="5" t="n">
        <v>42</v>
      </c>
      <c r="B43" s="5" t="s">
        <v>125</v>
      </c>
      <c r="C43" s="5" t="s">
        <v>70</v>
      </c>
      <c r="D43" s="5" t="s">
        <v>48</v>
      </c>
      <c r="E43" s="5" t="s">
        <v>73</v>
      </c>
      <c r="F43" s="5" t="s">
        <v>126</v>
      </c>
      <c r="G43" s="5" t="s">
        <v>111</v>
      </c>
      <c r="H43" s="5" t="n">
        <v>260</v>
      </c>
      <c r="I43" s="5" t="n">
        <v>22</v>
      </c>
      <c r="J43" s="5"/>
      <c r="K43" s="5" t="n">
        <v>3</v>
      </c>
      <c r="L43" s="5" t="s">
        <v>41</v>
      </c>
    </row>
    <row r="44" customFormat="false" ht="15" hidden="false" customHeight="false" outlineLevel="0" collapsed="false">
      <c r="A44" s="5" t="n">
        <v>43</v>
      </c>
      <c r="B44" s="5" t="s">
        <v>127</v>
      </c>
      <c r="C44" s="5" t="s">
        <v>70</v>
      </c>
      <c r="D44" s="5" t="s">
        <v>48</v>
      </c>
      <c r="E44" s="5" t="s">
        <v>73</v>
      </c>
      <c r="F44" s="5" t="s">
        <v>128</v>
      </c>
      <c r="G44" s="5" t="s">
        <v>111</v>
      </c>
      <c r="H44" s="5" t="n">
        <v>170</v>
      </c>
      <c r="I44" s="5" t="n">
        <v>20</v>
      </c>
      <c r="J44" s="5"/>
      <c r="K44" s="5" t="n">
        <v>3</v>
      </c>
      <c r="L44" s="5" t="s">
        <v>41</v>
      </c>
    </row>
    <row r="45" customFormat="false" ht="15" hidden="false" customHeight="false" outlineLevel="0" collapsed="false">
      <c r="A45" s="5" t="n">
        <v>44</v>
      </c>
      <c r="B45" s="5" t="s">
        <v>129</v>
      </c>
      <c r="C45" s="5" t="s">
        <v>70</v>
      </c>
      <c r="D45" s="5" t="s">
        <v>48</v>
      </c>
      <c r="E45" s="5" t="s">
        <v>73</v>
      </c>
      <c r="F45" s="5" t="s">
        <v>130</v>
      </c>
      <c r="G45" s="5" t="s">
        <v>40</v>
      </c>
      <c r="H45" s="5" t="n">
        <v>390</v>
      </c>
      <c r="I45" s="5" t="n">
        <v>28</v>
      </c>
      <c r="J45" s="5"/>
      <c r="K45" s="5" t="n">
        <v>3</v>
      </c>
      <c r="L45" s="5" t="s">
        <v>41</v>
      </c>
    </row>
    <row r="46" customFormat="false" ht="15" hidden="false" customHeight="false" outlineLevel="0" collapsed="false">
      <c r="A46" s="5" t="n">
        <v>45</v>
      </c>
      <c r="B46" s="5" t="s">
        <v>131</v>
      </c>
      <c r="C46" s="5" t="s">
        <v>65</v>
      </c>
      <c r="D46" s="5" t="s">
        <v>37</v>
      </c>
      <c r="E46" s="5" t="s">
        <v>73</v>
      </c>
      <c r="F46" s="5" t="s">
        <v>132</v>
      </c>
      <c r="G46" s="5" t="s">
        <v>111</v>
      </c>
      <c r="H46" s="5" t="n">
        <v>590</v>
      </c>
      <c r="I46" s="5" t="n">
        <v>36</v>
      </c>
      <c r="J46" s="5"/>
      <c r="K46" s="5" t="n">
        <v>3</v>
      </c>
      <c r="L46" s="5" t="s">
        <v>41</v>
      </c>
    </row>
    <row r="47" customFormat="false" ht="15" hidden="false" customHeight="false" outlineLevel="0" collapsed="false">
      <c r="A47" s="5" t="n">
        <v>46</v>
      </c>
      <c r="B47" s="5" t="s">
        <v>133</v>
      </c>
      <c r="C47" s="5" t="s">
        <v>65</v>
      </c>
      <c r="D47" s="5" t="s">
        <v>48</v>
      </c>
      <c r="E47" s="5" t="s">
        <v>73</v>
      </c>
      <c r="F47" s="5" t="s">
        <v>134</v>
      </c>
      <c r="G47" s="5" t="s">
        <v>111</v>
      </c>
      <c r="H47" s="5" t="n">
        <v>1300</v>
      </c>
      <c r="I47" s="5" t="n">
        <v>44</v>
      </c>
      <c r="J47" s="5"/>
      <c r="K47" s="5" t="n">
        <v>5</v>
      </c>
      <c r="L47" s="5" t="s">
        <v>41</v>
      </c>
    </row>
    <row r="48" customFormat="false" ht="15" hidden="false" customHeight="false" outlineLevel="0" collapsed="false">
      <c r="A48" s="5" t="n">
        <v>47</v>
      </c>
      <c r="B48" s="5" t="s">
        <v>135</v>
      </c>
      <c r="C48" s="5" t="s">
        <v>65</v>
      </c>
      <c r="D48" s="5" t="s">
        <v>48</v>
      </c>
      <c r="E48" s="5" t="s">
        <v>73</v>
      </c>
      <c r="F48" s="5" t="s">
        <v>136</v>
      </c>
      <c r="G48" s="5" t="s">
        <v>111</v>
      </c>
      <c r="H48" s="5" t="n">
        <v>720</v>
      </c>
      <c r="I48" s="5" t="n">
        <v>40</v>
      </c>
      <c r="J48" s="5"/>
      <c r="K48" s="5" t="n">
        <v>5</v>
      </c>
      <c r="L48" s="5" t="s">
        <v>41</v>
      </c>
    </row>
    <row r="49" customFormat="false" ht="15" hidden="false" customHeight="false" outlineLevel="0" collapsed="false">
      <c r="A49" s="5" t="n">
        <v>48</v>
      </c>
      <c r="B49" s="5" t="s">
        <v>137</v>
      </c>
      <c r="C49" s="5" t="s">
        <v>65</v>
      </c>
      <c r="D49" s="5" t="s">
        <v>48</v>
      </c>
      <c r="E49" s="5" t="s">
        <v>73</v>
      </c>
      <c r="F49" s="5" t="s">
        <v>138</v>
      </c>
      <c r="G49" s="5" t="s">
        <v>111</v>
      </c>
      <c r="H49" s="5" t="n">
        <v>880</v>
      </c>
      <c r="I49" s="5" t="n">
        <v>42</v>
      </c>
      <c r="J49" s="5"/>
      <c r="K49" s="5" t="n">
        <v>5</v>
      </c>
      <c r="L49" s="5" t="s">
        <v>41</v>
      </c>
    </row>
    <row r="50" customFormat="false" ht="15" hidden="false" customHeight="false" outlineLevel="0" collapsed="false">
      <c r="A50" s="5" t="n">
        <v>49</v>
      </c>
      <c r="B50" s="5" t="s">
        <v>139</v>
      </c>
      <c r="C50" s="5" t="s">
        <v>43</v>
      </c>
      <c r="D50" s="5" t="s">
        <v>37</v>
      </c>
      <c r="E50" s="5" t="s">
        <v>140</v>
      </c>
      <c r="F50" s="5" t="s">
        <v>107</v>
      </c>
      <c r="G50" s="5" t="s">
        <v>40</v>
      </c>
      <c r="H50" s="5" t="n">
        <v>210</v>
      </c>
      <c r="I50" s="5" t="n">
        <v>22</v>
      </c>
      <c r="J50" s="5"/>
      <c r="K50" s="5" t="n">
        <v>5</v>
      </c>
      <c r="L50" s="5" t="s">
        <v>41</v>
      </c>
    </row>
    <row r="51" customFormat="false" ht="15" hidden="false" customHeight="false" outlineLevel="0" collapsed="false">
      <c r="A51" s="5" t="n">
        <v>50</v>
      </c>
      <c r="B51" s="5" t="s">
        <v>141</v>
      </c>
      <c r="C51" s="5" t="s">
        <v>43</v>
      </c>
      <c r="D51" s="5" t="s">
        <v>37</v>
      </c>
      <c r="E51" s="5" t="s">
        <v>140</v>
      </c>
      <c r="F51" s="5" t="s">
        <v>142</v>
      </c>
      <c r="G51" s="5" t="s">
        <v>111</v>
      </c>
      <c r="H51" s="5" t="n">
        <v>90</v>
      </c>
      <c r="I51" s="5" t="n">
        <v>16</v>
      </c>
      <c r="J51" s="5"/>
      <c r="K51" s="5" t="n">
        <v>5</v>
      </c>
      <c r="L51" s="5" t="s">
        <v>41</v>
      </c>
    </row>
    <row r="52" customFormat="false" ht="15" hidden="false" customHeight="false" outlineLevel="0" collapsed="false">
      <c r="A52" s="5" t="n">
        <v>51</v>
      </c>
      <c r="B52" s="5" t="s">
        <v>143</v>
      </c>
      <c r="C52" s="5" t="s">
        <v>36</v>
      </c>
      <c r="D52" s="5" t="s">
        <v>37</v>
      </c>
      <c r="E52" s="5" t="s">
        <v>140</v>
      </c>
      <c r="F52" s="5" t="s">
        <v>71</v>
      </c>
      <c r="G52" s="5" t="s">
        <v>40</v>
      </c>
      <c r="H52" s="5" t="n">
        <v>70</v>
      </c>
      <c r="I52" s="5" t="n">
        <v>18</v>
      </c>
      <c r="J52" s="5"/>
      <c r="K52" s="5" t="n">
        <v>5</v>
      </c>
      <c r="L52" s="5" t="s">
        <v>41</v>
      </c>
    </row>
    <row r="53" customFormat="false" ht="15" hidden="false" customHeight="false" outlineLevel="0" collapsed="false">
      <c r="A53" s="5" t="n">
        <v>52</v>
      </c>
      <c r="B53" s="5" t="s">
        <v>144</v>
      </c>
      <c r="C53" s="5" t="s">
        <v>70</v>
      </c>
      <c r="D53" s="5" t="s">
        <v>37</v>
      </c>
      <c r="E53" s="5" t="s">
        <v>140</v>
      </c>
      <c r="F53" s="5" t="s">
        <v>71</v>
      </c>
      <c r="G53" s="5" t="s">
        <v>40</v>
      </c>
      <c r="H53" s="5" t="n">
        <v>140</v>
      </c>
      <c r="I53" s="5" t="n">
        <v>22</v>
      </c>
      <c r="J53" s="5"/>
      <c r="K53" s="5" t="n">
        <v>5</v>
      </c>
      <c r="L53" s="5" t="s">
        <v>41</v>
      </c>
    </row>
    <row r="54" customFormat="false" ht="15" hidden="false" customHeight="false" outlineLevel="0" collapsed="false">
      <c r="A54" s="5" t="n">
        <v>53</v>
      </c>
      <c r="B54" s="5" t="s">
        <v>145</v>
      </c>
      <c r="C54" s="5" t="s">
        <v>51</v>
      </c>
      <c r="D54" s="5" t="s">
        <v>37</v>
      </c>
      <c r="E54" s="5" t="s">
        <v>140</v>
      </c>
      <c r="F54" s="5" t="s">
        <v>92</v>
      </c>
      <c r="G54" s="5" t="s">
        <v>40</v>
      </c>
      <c r="H54" s="5" t="n">
        <v>110</v>
      </c>
      <c r="I54" s="5" t="n">
        <v>20</v>
      </c>
      <c r="J54" s="5"/>
      <c r="K54" s="5" t="n">
        <v>5</v>
      </c>
      <c r="L54" s="5" t="s">
        <v>41</v>
      </c>
    </row>
    <row r="55" customFormat="false" ht="15" hidden="false" customHeight="false" outlineLevel="0" collapsed="false">
      <c r="A55" s="5" t="n">
        <v>54</v>
      </c>
      <c r="B55" s="5" t="s">
        <v>146</v>
      </c>
      <c r="C55" s="5" t="s">
        <v>70</v>
      </c>
      <c r="D55" s="5" t="s">
        <v>37</v>
      </c>
      <c r="E55" s="5" t="s">
        <v>140</v>
      </c>
      <c r="F55" s="5" t="s">
        <v>147</v>
      </c>
      <c r="G55" s="5" t="s">
        <v>111</v>
      </c>
      <c r="H55" s="5" t="n">
        <v>1300</v>
      </c>
      <c r="I55" s="5" t="n">
        <v>18</v>
      </c>
      <c r="J55" s="5"/>
      <c r="K55" s="5" t="n">
        <v>3</v>
      </c>
      <c r="L55" s="5" t="s">
        <v>41</v>
      </c>
    </row>
    <row r="56" customFormat="false" ht="15" hidden="false" customHeight="false" outlineLevel="0" collapsed="false">
      <c r="A56" s="5" t="n">
        <v>55</v>
      </c>
      <c r="B56" s="5" t="s">
        <v>148</v>
      </c>
      <c r="C56" s="5" t="s">
        <v>70</v>
      </c>
      <c r="D56" s="5" t="s">
        <v>48</v>
      </c>
      <c r="E56" s="5" t="s">
        <v>140</v>
      </c>
      <c r="F56" s="5" t="s">
        <v>149</v>
      </c>
      <c r="G56" s="5" t="s">
        <v>111</v>
      </c>
      <c r="H56" s="5" t="n">
        <v>880</v>
      </c>
      <c r="I56" s="5" t="n">
        <v>18</v>
      </c>
      <c r="J56" s="5"/>
      <c r="K56" s="5" t="n">
        <v>3</v>
      </c>
      <c r="L56" s="5" t="s">
        <v>41</v>
      </c>
    </row>
    <row r="57" customFormat="false" ht="15" hidden="false" customHeight="false" outlineLevel="0" collapsed="false">
      <c r="A57" s="5" t="n">
        <v>56</v>
      </c>
      <c r="B57" s="5" t="s">
        <v>150</v>
      </c>
      <c r="C57" s="5" t="s">
        <v>51</v>
      </c>
      <c r="D57" s="5" t="s">
        <v>37</v>
      </c>
      <c r="E57" s="5" t="s">
        <v>140</v>
      </c>
      <c r="F57" s="5" t="s">
        <v>151</v>
      </c>
      <c r="G57" s="5" t="s">
        <v>111</v>
      </c>
      <c r="H57" s="5" t="n">
        <v>170</v>
      </c>
      <c r="I57" s="5" t="n">
        <v>22</v>
      </c>
      <c r="J57" s="5"/>
      <c r="K57" s="5" t="n">
        <v>5</v>
      </c>
      <c r="L57" s="5" t="s">
        <v>41</v>
      </c>
    </row>
    <row r="58" customFormat="false" ht="15" hidden="false" customHeight="false" outlineLevel="0" collapsed="false">
      <c r="A58" s="5" t="n">
        <v>57</v>
      </c>
      <c r="B58" s="5" t="s">
        <v>152</v>
      </c>
      <c r="C58" s="5" t="s">
        <v>51</v>
      </c>
      <c r="D58" s="5" t="s">
        <v>48</v>
      </c>
      <c r="E58" s="5" t="s">
        <v>140</v>
      </c>
      <c r="F58" s="5" t="s">
        <v>153</v>
      </c>
      <c r="G58" s="5" t="s">
        <v>111</v>
      </c>
      <c r="H58" s="5" t="n">
        <v>140</v>
      </c>
      <c r="I58" s="5" t="n">
        <v>22</v>
      </c>
      <c r="J58" s="5"/>
      <c r="K58" s="5" t="n">
        <v>5</v>
      </c>
      <c r="L58" s="5" t="s">
        <v>41</v>
      </c>
    </row>
    <row r="59" customFormat="false" ht="15" hidden="false" customHeight="false" outlineLevel="0" collapsed="false">
      <c r="A59" s="5" t="n">
        <v>58</v>
      </c>
      <c r="B59" s="5" t="s">
        <v>154</v>
      </c>
      <c r="C59" s="5" t="s">
        <v>70</v>
      </c>
      <c r="D59" s="5" t="s">
        <v>37</v>
      </c>
      <c r="E59" s="5" t="s">
        <v>140</v>
      </c>
      <c r="F59" s="5" t="s">
        <v>155</v>
      </c>
      <c r="G59" s="5" t="s">
        <v>111</v>
      </c>
      <c r="H59" s="5" t="n">
        <v>70</v>
      </c>
      <c r="I59" s="5" t="n">
        <v>14</v>
      </c>
      <c r="J59" s="5"/>
      <c r="K59" s="5" t="n">
        <v>5</v>
      </c>
      <c r="L59" s="5" t="s">
        <v>41</v>
      </c>
    </row>
    <row r="60" customFormat="false" ht="15" hidden="false" customHeight="false" outlineLevel="0" collapsed="false">
      <c r="A60" s="5" t="n">
        <v>59</v>
      </c>
      <c r="B60" s="5" t="s">
        <v>156</v>
      </c>
      <c r="C60" s="5" t="s">
        <v>70</v>
      </c>
      <c r="D60" s="5" t="s">
        <v>37</v>
      </c>
      <c r="E60" s="5" t="s">
        <v>140</v>
      </c>
      <c r="F60" s="5" t="s">
        <v>157</v>
      </c>
      <c r="G60" s="5" t="s">
        <v>111</v>
      </c>
      <c r="H60" s="5" t="n">
        <v>90</v>
      </c>
      <c r="I60" s="5" t="n">
        <v>16</v>
      </c>
      <c r="J60" s="5"/>
      <c r="K60" s="5" t="n">
        <v>5</v>
      </c>
      <c r="L60" s="5" t="s">
        <v>41</v>
      </c>
    </row>
    <row r="61" customFormat="false" ht="15" hidden="false" customHeight="false" outlineLevel="0" collapsed="false">
      <c r="A61" s="5" t="n">
        <v>60</v>
      </c>
      <c r="B61" s="5" t="s">
        <v>158</v>
      </c>
      <c r="C61" s="5" t="s">
        <v>70</v>
      </c>
      <c r="D61" s="5" t="s">
        <v>37</v>
      </c>
      <c r="E61" s="5" t="s">
        <v>140</v>
      </c>
      <c r="F61" s="5" t="s">
        <v>159</v>
      </c>
      <c r="G61" s="5" t="s">
        <v>111</v>
      </c>
      <c r="H61" s="5" t="n">
        <v>40</v>
      </c>
      <c r="I61" s="5" t="n">
        <v>12</v>
      </c>
      <c r="J61" s="5"/>
      <c r="K61" s="5" t="n">
        <v>5</v>
      </c>
      <c r="L61" s="5" t="s">
        <v>41</v>
      </c>
    </row>
    <row r="62" customFormat="false" ht="15" hidden="false" customHeight="false" outlineLevel="0" collapsed="false">
      <c r="A62" s="5" t="n">
        <v>61</v>
      </c>
      <c r="B62" s="5" t="s">
        <v>160</v>
      </c>
      <c r="C62" s="5" t="s">
        <v>51</v>
      </c>
      <c r="D62" s="5" t="s">
        <v>48</v>
      </c>
      <c r="E62" s="5" t="s">
        <v>140</v>
      </c>
      <c r="F62" s="5" t="s">
        <v>161</v>
      </c>
      <c r="G62" s="5" t="s">
        <v>40</v>
      </c>
      <c r="H62" s="5" t="n">
        <v>110</v>
      </c>
      <c r="I62" s="5" t="n">
        <v>20</v>
      </c>
      <c r="J62" s="5"/>
      <c r="K62" s="5" t="n">
        <v>5</v>
      </c>
      <c r="L62" s="5" t="s">
        <v>41</v>
      </c>
    </row>
    <row r="63" customFormat="false" ht="15" hidden="false" customHeight="false" outlineLevel="0" collapsed="false">
      <c r="A63" s="5" t="n">
        <v>62</v>
      </c>
      <c r="B63" s="5" t="s">
        <v>162</v>
      </c>
      <c r="C63" s="5" t="s">
        <v>43</v>
      </c>
      <c r="D63" s="5" t="s">
        <v>86</v>
      </c>
      <c r="E63" s="5" t="s">
        <v>140</v>
      </c>
      <c r="F63" s="5" t="s">
        <v>163</v>
      </c>
      <c r="G63" s="5" t="s">
        <v>40</v>
      </c>
      <c r="H63" s="5" t="n">
        <v>140</v>
      </c>
      <c r="I63" s="5" t="n">
        <v>22</v>
      </c>
      <c r="J63" s="5"/>
      <c r="K63" s="5" t="n">
        <v>5</v>
      </c>
      <c r="L63" s="5" t="s">
        <v>41</v>
      </c>
    </row>
    <row r="64" customFormat="false" ht="15" hidden="false" customHeight="false" outlineLevel="0" collapsed="false">
      <c r="A64" s="5" t="n">
        <v>63</v>
      </c>
      <c r="B64" s="5" t="s">
        <v>164</v>
      </c>
      <c r="C64" s="5" t="s">
        <v>43</v>
      </c>
      <c r="D64" s="5" t="s">
        <v>83</v>
      </c>
      <c r="E64" s="5" t="s">
        <v>140</v>
      </c>
      <c r="F64" s="5" t="s">
        <v>165</v>
      </c>
      <c r="G64" s="5" t="s">
        <v>40</v>
      </c>
      <c r="H64" s="5" t="n">
        <v>170</v>
      </c>
      <c r="I64" s="5" t="n">
        <v>22</v>
      </c>
      <c r="J64" s="5"/>
      <c r="K64" s="5" t="n">
        <v>5</v>
      </c>
      <c r="L64" s="5" t="s">
        <v>41</v>
      </c>
    </row>
    <row r="65" customFormat="false" ht="15" hidden="false" customHeight="false" outlineLevel="0" collapsed="false">
      <c r="A65" s="5" t="n">
        <v>64</v>
      </c>
      <c r="B65" s="5" t="s">
        <v>166</v>
      </c>
      <c r="C65" s="5" t="s">
        <v>70</v>
      </c>
      <c r="D65" s="5" t="s">
        <v>62</v>
      </c>
      <c r="E65" s="5" t="s">
        <v>140</v>
      </c>
      <c r="F65" s="5" t="s">
        <v>167</v>
      </c>
      <c r="G65" s="5" t="s">
        <v>111</v>
      </c>
      <c r="H65" s="5" t="n">
        <v>210</v>
      </c>
      <c r="I65" s="5" t="n">
        <v>24</v>
      </c>
      <c r="J65" s="5"/>
      <c r="K65" s="5" t="n">
        <v>5</v>
      </c>
      <c r="L65" s="5" t="s">
        <v>41</v>
      </c>
    </row>
    <row r="66" customFormat="false" ht="15" hidden="false" customHeight="false" outlineLevel="0" collapsed="false">
      <c r="A66" s="5" t="n">
        <v>65</v>
      </c>
      <c r="B66" s="5" t="s">
        <v>168</v>
      </c>
      <c r="C66" s="5" t="s">
        <v>51</v>
      </c>
      <c r="D66" s="5" t="s">
        <v>89</v>
      </c>
      <c r="E66" s="5" t="s">
        <v>140</v>
      </c>
      <c r="F66" s="5" t="s">
        <v>169</v>
      </c>
      <c r="G66" s="5" t="s">
        <v>40</v>
      </c>
      <c r="H66" s="5" t="n">
        <v>90</v>
      </c>
      <c r="I66" s="5" t="n">
        <v>20</v>
      </c>
      <c r="J66" s="5"/>
      <c r="K66" s="5" t="n">
        <v>5</v>
      </c>
      <c r="L66" s="5" t="s">
        <v>41</v>
      </c>
    </row>
  </sheetData>
  <autoFilter ref="A1:L66"/>
  <conditionalFormatting sqref="I2:I66">
    <cfRule type="colorScale" priority="2">
      <colorScale>
        <cfvo type="num" val="0"/>
        <cfvo type="num" val="30"/>
        <cfvo type="num" val="6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8" t="s">
        <v>170</v>
      </c>
      <c r="B1" s="8"/>
      <c r="C1" s="8"/>
      <c r="D1" s="8"/>
      <c r="E1" s="8"/>
      <c r="F1" s="8"/>
    </row>
    <row r="3" customFormat="false" ht="26.85" hidden="false" customHeight="false" outlineLevel="0" collapsed="false">
      <c r="A3" s="3" t="s">
        <v>25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</row>
    <row r="4" customFormat="false" ht="23.85" hidden="false" customHeight="false" outlineLevel="0" collapsed="false">
      <c r="A4" s="5" t="s">
        <v>36</v>
      </c>
      <c r="B4" s="4" t="s">
        <v>176</v>
      </c>
      <c r="C4" s="5" t="n">
        <f aca="false">COUNTIF(Keywords!C:C,"A-Local-Blanes")</f>
        <v>17</v>
      </c>
      <c r="D4" s="5" t="n">
        <f aca="false">COUNTIFS(Keywords!C:C,"A-Local-Blanes",Keywords!E:E,"Tier 1")</f>
        <v>5</v>
      </c>
      <c r="E4" s="5" t="n">
        <f aca="false">SUMIF(Keywords!C:C,"A-Local-Blanes",Keywords!H:H)</f>
        <v>5530</v>
      </c>
      <c r="F4" s="5" t="n">
        <f aca="false">IFERROR(AVERAGEIF(Keywords!C:C,"A-Local-Blanes",Keywords!I:I),0)</f>
        <v>21.1764705882353</v>
      </c>
    </row>
    <row r="5" customFormat="false" ht="23.85" hidden="false" customHeight="false" outlineLevel="0" collapsed="false">
      <c r="A5" s="5" t="s">
        <v>51</v>
      </c>
      <c r="B5" s="4" t="s">
        <v>177</v>
      </c>
      <c r="C5" s="5" t="n">
        <f aca="false">COUNTIF(Keywords!C:C,"B-Costa-Brava")</f>
        <v>14</v>
      </c>
      <c r="D5" s="5" t="n">
        <f aca="false">COUNTIFS(Keywords!C:C,"B-Costa-Brava",Keywords!E:E,"Tier 1")</f>
        <v>1</v>
      </c>
      <c r="E5" s="5" t="n">
        <f aca="false">SUMIF(Keywords!C:C,"B-Costa-Brava",Keywords!H:H)</f>
        <v>8500</v>
      </c>
      <c r="F5" s="5" t="n">
        <f aca="false">IFERROR(AVERAGEIF(Keywords!C:C,"B-Costa-Brava",Keywords!I:I),0)</f>
        <v>28.5</v>
      </c>
    </row>
    <row r="6" customFormat="false" ht="15" hidden="false" customHeight="false" outlineLevel="0" collapsed="false">
      <c r="A6" s="5" t="s">
        <v>43</v>
      </c>
      <c r="B6" s="4" t="s">
        <v>178</v>
      </c>
      <c r="C6" s="5" t="n">
        <f aca="false">COUNTIF(Keywords!C:C,"C-Sin-licencia")</f>
        <v>13</v>
      </c>
      <c r="D6" s="5" t="n">
        <f aca="false">COUNTIFS(Keywords!C:C,"C-Sin-licencia",Keywords!E:E,"Tier 1")</f>
        <v>3</v>
      </c>
      <c r="E6" s="5" t="n">
        <f aca="false">SUMIF(Keywords!C:C,"C-Sin-licencia",Keywords!H:H)</f>
        <v>10350</v>
      </c>
      <c r="F6" s="5" t="n">
        <f aca="false">IFERROR(AVERAGEIF(Keywords!C:C,"C-Sin-licencia",Keywords!I:I),0)</f>
        <v>28.5384615384615</v>
      </c>
    </row>
    <row r="7" customFormat="false" ht="15" hidden="false" customHeight="false" outlineLevel="0" collapsed="false">
      <c r="A7" s="5" t="s">
        <v>70</v>
      </c>
      <c r="B7" s="4" t="s">
        <v>179</v>
      </c>
      <c r="C7" s="5" t="n">
        <f aca="false">COUNTIF(Keywords!C:C,"D-Excursiones")</f>
        <v>15</v>
      </c>
      <c r="D7" s="5" t="n">
        <f aca="false">COUNTIFS(Keywords!C:C,"D-Excursiones",Keywords!E:E,"Tier 1")</f>
        <v>1</v>
      </c>
      <c r="E7" s="5" t="n">
        <f aca="false">SUMIF(Keywords!C:C,"D-Excursiones",Keywords!H:H)</f>
        <v>5300</v>
      </c>
      <c r="F7" s="5" t="n">
        <f aca="false">IFERROR(AVERAGEIF(Keywords!C:C,"D-Excursiones",Keywords!I:I),0)</f>
        <v>20.3333333333333</v>
      </c>
    </row>
    <row r="8" customFormat="false" ht="15" hidden="false" customHeight="false" outlineLevel="0" collapsed="false">
      <c r="A8" s="5" t="s">
        <v>65</v>
      </c>
      <c r="B8" s="4" t="s">
        <v>180</v>
      </c>
      <c r="C8" s="5" t="n">
        <f aca="false">COUNTIF(Keywords!C:C,"E-Barcelona")</f>
        <v>6</v>
      </c>
      <c r="D8" s="5" t="n">
        <f aca="false">COUNTIFS(Keywords!C:C,"E-Barcelona",Keywords!E:E,"Tier 1")</f>
        <v>2</v>
      </c>
      <c r="E8" s="5" t="n">
        <f aca="false">SUMIF(Keywords!C:C,"E-Barcelona",Keywords!H:H)</f>
        <v>6190</v>
      </c>
      <c r="F8" s="5" t="n">
        <f aca="false">IFERROR(AVERAGEIF(Keywords!C:C,"E-Barcelona",Keywords!I:I),0)</f>
        <v>41.3333333333333</v>
      </c>
    </row>
    <row r="9" customFormat="false" ht="15" hidden="false" customHeight="false" outlineLevel="0" collapsed="false">
      <c r="A9" s="9" t="s">
        <v>181</v>
      </c>
      <c r="C9" s="9" t="n">
        <f aca="false">SUM(C4:C8)</f>
        <v>65</v>
      </c>
      <c r="D9" s="9" t="n">
        <f aca="false">SUM(D4:D8)</f>
        <v>12</v>
      </c>
      <c r="E9" s="9" t="n">
        <f aca="false">SUM(E4:E8)</f>
        <v>35870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8" t="s">
        <v>182</v>
      </c>
      <c r="B1" s="8"/>
      <c r="C1" s="8"/>
      <c r="D1" s="8"/>
      <c r="E1" s="8"/>
    </row>
    <row r="3" customFormat="false" ht="26.85" hidden="false" customHeight="false" outlineLevel="0" collapsed="false">
      <c r="A3" s="3" t="s">
        <v>26</v>
      </c>
      <c r="B3" s="3" t="s">
        <v>183</v>
      </c>
      <c r="C3" s="3" t="s">
        <v>172</v>
      </c>
      <c r="D3" s="3" t="s">
        <v>173</v>
      </c>
      <c r="E3" s="3" t="s">
        <v>34</v>
      </c>
    </row>
    <row r="4" customFormat="false" ht="15" hidden="false" customHeight="false" outlineLevel="0" collapsed="false">
      <c r="A4" s="5" t="s">
        <v>37</v>
      </c>
      <c r="B4" s="5" t="s">
        <v>38</v>
      </c>
      <c r="C4" s="5" t="n">
        <f aca="false">COUNTIF(Keywords!D:D,"es")</f>
        <v>29</v>
      </c>
      <c r="D4" s="5" t="n">
        <f aca="false">COUNTIFS(Keywords!D:D,"es",Keywords!E:E,"Tier 1")</f>
        <v>5</v>
      </c>
      <c r="E4" s="5" t="s">
        <v>184</v>
      </c>
    </row>
    <row r="5" customFormat="false" ht="15" hidden="false" customHeight="false" outlineLevel="0" collapsed="false">
      <c r="A5" s="5" t="s">
        <v>48</v>
      </c>
      <c r="B5" s="5" t="s">
        <v>38</v>
      </c>
      <c r="C5" s="5" t="n">
        <f aca="false">COUNTIF(Keywords!D:D,"en")</f>
        <v>18</v>
      </c>
      <c r="D5" s="5" t="n">
        <f aca="false">COUNTIFS(Keywords!D:D,"en",Keywords!E:E,"Tier 1")</f>
        <v>4</v>
      </c>
      <c r="E5" s="5" t="s">
        <v>184</v>
      </c>
    </row>
    <row r="6" customFormat="false" ht="15" hidden="false" customHeight="false" outlineLevel="0" collapsed="false">
      <c r="A6" s="5" t="s">
        <v>59</v>
      </c>
      <c r="B6" s="5" t="s">
        <v>73</v>
      </c>
      <c r="C6" s="5" t="n">
        <f aca="false">COUNTIF(Keywords!D:D,"fr")</f>
        <v>4</v>
      </c>
      <c r="D6" s="5" t="n">
        <f aca="false">COUNTIFS(Keywords!D:D,"fr",Keywords!E:E,"Tier 1")</f>
        <v>1</v>
      </c>
      <c r="E6" s="5" t="s">
        <v>185</v>
      </c>
    </row>
    <row r="7" customFormat="false" ht="15" hidden="false" customHeight="false" outlineLevel="0" collapsed="false">
      <c r="A7" s="5" t="s">
        <v>62</v>
      </c>
      <c r="B7" s="5" t="s">
        <v>73</v>
      </c>
      <c r="C7" s="5" t="n">
        <f aca="false">COUNTIF(Keywords!D:D,"de")</f>
        <v>5</v>
      </c>
      <c r="D7" s="5" t="n">
        <f aca="false">COUNTIFS(Keywords!D:D,"de",Keywords!E:E,"Tier 1")</f>
        <v>1</v>
      </c>
      <c r="E7" s="5" t="s">
        <v>185</v>
      </c>
    </row>
    <row r="8" customFormat="false" ht="15" hidden="false" customHeight="false" outlineLevel="0" collapsed="false">
      <c r="A8" s="5" t="s">
        <v>56</v>
      </c>
      <c r="B8" s="5" t="s">
        <v>73</v>
      </c>
      <c r="C8" s="5" t="n">
        <f aca="false">COUNTIF(Keywords!D:D,"ca")</f>
        <v>3</v>
      </c>
      <c r="D8" s="5" t="n">
        <f aca="false">COUNTIFS(Keywords!D:D,"ca",Keywords!E:E,"Tier 1")</f>
        <v>1</v>
      </c>
      <c r="E8" s="5" t="s">
        <v>185</v>
      </c>
    </row>
    <row r="9" customFormat="false" ht="15" hidden="false" customHeight="false" outlineLevel="0" collapsed="false">
      <c r="A9" s="5" t="s">
        <v>86</v>
      </c>
      <c r="B9" s="5" t="s">
        <v>140</v>
      </c>
      <c r="C9" s="5" t="n">
        <f aca="false">COUNTIF(Keywords!D:D,"it")</f>
        <v>2</v>
      </c>
      <c r="D9" s="5" t="n">
        <f aca="false">COUNTIFS(Keywords!D:D,"it",Keywords!E:E,"Tier 1")</f>
        <v>0</v>
      </c>
      <c r="E9" s="5" t="s">
        <v>185</v>
      </c>
    </row>
    <row r="10" customFormat="false" ht="15" hidden="false" customHeight="false" outlineLevel="0" collapsed="false">
      <c r="A10" s="5" t="s">
        <v>83</v>
      </c>
      <c r="B10" s="5" t="s">
        <v>140</v>
      </c>
      <c r="C10" s="5" t="n">
        <f aca="false">COUNTIF(Keywords!D:D,"nl")</f>
        <v>2</v>
      </c>
      <c r="D10" s="5" t="n">
        <f aca="false">COUNTIFS(Keywords!D:D,"nl",Keywords!E:E,"Tier 1")</f>
        <v>0</v>
      </c>
      <c r="E10" s="5" t="s">
        <v>185</v>
      </c>
    </row>
    <row r="11" customFormat="false" ht="15" hidden="false" customHeight="false" outlineLevel="0" collapsed="false">
      <c r="A11" s="5" t="s">
        <v>89</v>
      </c>
      <c r="B11" s="5" t="s">
        <v>140</v>
      </c>
      <c r="C11" s="5" t="n">
        <f aca="false">COUNTIF(Keywords!D:D,"ru")</f>
        <v>2</v>
      </c>
      <c r="D11" s="5" t="n">
        <f aca="false">COUNTIFS(Keywords!D:D,"ru",Keywords!E:E,"Tier 1")</f>
        <v>0</v>
      </c>
      <c r="E11" s="5" t="s">
        <v>185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55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8" t="s">
        <v>186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3" t="s">
        <v>23</v>
      </c>
      <c r="B3" s="3" t="s">
        <v>187</v>
      </c>
      <c r="C3" s="3" t="s">
        <v>188</v>
      </c>
      <c r="D3" s="3" t="s">
        <v>189</v>
      </c>
      <c r="E3" s="3" t="s">
        <v>190</v>
      </c>
      <c r="F3" s="3" t="s">
        <v>34</v>
      </c>
    </row>
    <row r="4" customFormat="false" ht="15" hidden="false" customHeight="false" outlineLevel="0" collapsed="false">
      <c r="A4" s="5" t="n">
        <v>1</v>
      </c>
      <c r="B4" s="5" t="s">
        <v>191</v>
      </c>
      <c r="C4" s="5" t="s">
        <v>192</v>
      </c>
      <c r="D4" s="5" t="s">
        <v>193</v>
      </c>
      <c r="E4" s="5" t="s">
        <v>194</v>
      </c>
      <c r="F4" s="5" t="s">
        <v>195</v>
      </c>
    </row>
    <row r="5" customFormat="false" ht="15" hidden="false" customHeight="false" outlineLevel="0" collapsed="false">
      <c r="A5" s="10" t="n">
        <v>2</v>
      </c>
      <c r="B5" s="10" t="s">
        <v>196</v>
      </c>
      <c r="C5" s="10" t="s">
        <v>197</v>
      </c>
      <c r="D5" s="10" t="s">
        <v>198</v>
      </c>
      <c r="E5" s="10" t="s">
        <v>199</v>
      </c>
      <c r="F5" s="10" t="s">
        <v>200</v>
      </c>
    </row>
    <row r="6" customFormat="false" ht="15" hidden="false" customHeight="false" outlineLevel="0" collapsed="false">
      <c r="A6" s="10" t="n">
        <v>3</v>
      </c>
      <c r="B6" s="10" t="s">
        <v>201</v>
      </c>
      <c r="C6" s="10" t="s">
        <v>202</v>
      </c>
      <c r="D6" s="10" t="s">
        <v>203</v>
      </c>
      <c r="E6" s="10" t="s">
        <v>204</v>
      </c>
      <c r="F6" s="10" t="s">
        <v>200</v>
      </c>
    </row>
    <row r="7" customFormat="false" ht="15" hidden="false" customHeight="false" outlineLevel="0" collapsed="false">
      <c r="A7" s="5" t="n">
        <v>4</v>
      </c>
      <c r="B7" s="5" t="s">
        <v>205</v>
      </c>
      <c r="C7" s="5" t="s">
        <v>206</v>
      </c>
      <c r="D7" s="5" t="s">
        <v>207</v>
      </c>
      <c r="E7" s="5" t="s">
        <v>208</v>
      </c>
      <c r="F7" s="5" t="s">
        <v>195</v>
      </c>
    </row>
    <row r="8" customFormat="false" ht="15" hidden="false" customHeight="false" outlineLevel="0" collapsed="false">
      <c r="A8" s="5" t="n">
        <v>5</v>
      </c>
      <c r="B8" s="5" t="s">
        <v>209</v>
      </c>
      <c r="C8" s="5" t="s">
        <v>210</v>
      </c>
      <c r="D8" s="5" t="s">
        <v>211</v>
      </c>
      <c r="E8" s="5" t="s">
        <v>212</v>
      </c>
      <c r="F8" s="5" t="s">
        <v>195</v>
      </c>
    </row>
    <row r="9" customFormat="false" ht="15" hidden="false" customHeight="false" outlineLevel="0" collapsed="false">
      <c r="A9" s="5" t="n">
        <v>6</v>
      </c>
      <c r="B9" s="5" t="s">
        <v>213</v>
      </c>
      <c r="C9" s="5" t="s">
        <v>214</v>
      </c>
      <c r="D9" s="5" t="s">
        <v>215</v>
      </c>
      <c r="E9" s="5" t="s">
        <v>216</v>
      </c>
      <c r="F9" s="5" t="s">
        <v>195</v>
      </c>
    </row>
    <row r="10" customFormat="false" ht="15" hidden="false" customHeight="false" outlineLevel="0" collapsed="false">
      <c r="A10" s="5" t="n">
        <v>7</v>
      </c>
      <c r="B10" s="5" t="s">
        <v>217</v>
      </c>
      <c r="C10" s="5" t="s">
        <v>218</v>
      </c>
      <c r="D10" s="5" t="s">
        <v>219</v>
      </c>
      <c r="E10" s="5" t="s">
        <v>220</v>
      </c>
      <c r="F10" s="5" t="s">
        <v>195</v>
      </c>
    </row>
    <row r="11" customFormat="false" ht="15" hidden="false" customHeight="false" outlineLevel="0" collapsed="false">
      <c r="A11" s="5" t="n">
        <v>8</v>
      </c>
      <c r="B11" s="5" t="s">
        <v>221</v>
      </c>
      <c r="C11" s="5" t="s">
        <v>222</v>
      </c>
      <c r="D11" s="5" t="s">
        <v>223</v>
      </c>
      <c r="E11" s="5" t="s">
        <v>224</v>
      </c>
      <c r="F11" s="5" t="s">
        <v>195</v>
      </c>
    </row>
    <row r="12" customFormat="false" ht="15" hidden="false" customHeight="false" outlineLevel="0" collapsed="false">
      <c r="A12" s="5" t="n">
        <v>9</v>
      </c>
      <c r="B12" s="5" t="s">
        <v>225</v>
      </c>
      <c r="C12" s="5" t="s">
        <v>226</v>
      </c>
      <c r="D12" s="5" t="s">
        <v>227</v>
      </c>
      <c r="E12" s="5" t="s">
        <v>228</v>
      </c>
      <c r="F12" s="5" t="s">
        <v>195</v>
      </c>
    </row>
    <row r="13" customFormat="false" ht="15" hidden="false" customHeight="false" outlineLevel="0" collapsed="false">
      <c r="A13" s="5" t="n">
        <v>10</v>
      </c>
      <c r="B13" s="5" t="s">
        <v>229</v>
      </c>
      <c r="C13" s="5" t="s">
        <v>230</v>
      </c>
      <c r="D13" s="5" t="s">
        <v>231</v>
      </c>
      <c r="E13" s="5" t="s">
        <v>232</v>
      </c>
      <c r="F13" s="5" t="s">
        <v>195</v>
      </c>
    </row>
    <row r="14" customFormat="false" ht="15" hidden="false" customHeight="false" outlineLevel="0" collapsed="false">
      <c r="A14" s="5" t="n">
        <v>11</v>
      </c>
      <c r="B14" s="5" t="s">
        <v>233</v>
      </c>
      <c r="C14" s="5" t="s">
        <v>234</v>
      </c>
      <c r="D14" s="5" t="s">
        <v>235</v>
      </c>
      <c r="E14" s="5" t="s">
        <v>236</v>
      </c>
      <c r="F14" s="5" t="s">
        <v>195</v>
      </c>
    </row>
    <row r="15" customFormat="false" ht="15" hidden="false" customHeight="false" outlineLevel="0" collapsed="false">
      <c r="A15" s="5" t="n">
        <v>12</v>
      </c>
      <c r="B15" s="5" t="s">
        <v>237</v>
      </c>
      <c r="C15" s="5" t="s">
        <v>238</v>
      </c>
      <c r="D15" s="5" t="s">
        <v>239</v>
      </c>
      <c r="E15" s="5" t="s">
        <v>240</v>
      </c>
      <c r="F15" s="5" t="s">
        <v>195</v>
      </c>
    </row>
    <row r="16" customFormat="false" ht="15" hidden="false" customHeight="false" outlineLevel="0" collapsed="false">
      <c r="A16" s="5" t="n">
        <v>13</v>
      </c>
      <c r="B16" s="5" t="s">
        <v>241</v>
      </c>
      <c r="C16" s="5" t="s">
        <v>242</v>
      </c>
      <c r="D16" s="5" t="s">
        <v>243</v>
      </c>
      <c r="E16" s="5" t="s">
        <v>244</v>
      </c>
      <c r="F16" s="5" t="s">
        <v>195</v>
      </c>
    </row>
    <row r="17" customFormat="false" ht="15" hidden="false" customHeight="false" outlineLevel="0" collapsed="false">
      <c r="A17" s="5" t="n">
        <v>14</v>
      </c>
      <c r="B17" s="5" t="s">
        <v>245</v>
      </c>
      <c r="C17" s="5" t="s">
        <v>246</v>
      </c>
      <c r="D17" s="5" t="s">
        <v>243</v>
      </c>
      <c r="E17" s="5" t="s">
        <v>247</v>
      </c>
      <c r="F17" s="5" t="s">
        <v>195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8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8" t="s">
        <v>248</v>
      </c>
      <c r="B1" s="8"/>
      <c r="C1" s="8"/>
      <c r="D1" s="8"/>
      <c r="E1" s="8"/>
    </row>
    <row r="3" customFormat="false" ht="15" hidden="false" customHeight="false" outlineLevel="0" collapsed="false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</row>
    <row r="4" customFormat="false" ht="15" hidden="false" customHeight="false" outlineLevel="0" collapsed="false">
      <c r="A4" s="4" t="s">
        <v>254</v>
      </c>
      <c r="B4" s="4" t="s">
        <v>255</v>
      </c>
      <c r="C4" s="4" t="s">
        <v>256</v>
      </c>
      <c r="D4" s="4" t="s">
        <v>257</v>
      </c>
      <c r="E4" s="4" t="s">
        <v>258</v>
      </c>
    </row>
    <row r="5" customFormat="false" ht="15" hidden="false" customHeight="false" outlineLevel="0" collapsed="false">
      <c r="A5" s="4" t="s">
        <v>259</v>
      </c>
      <c r="B5" s="4" t="s">
        <v>260</v>
      </c>
      <c r="C5" s="4" t="s">
        <v>261</v>
      </c>
      <c r="D5" s="4" t="s">
        <v>262</v>
      </c>
      <c r="E5" s="4" t="s">
        <v>263</v>
      </c>
    </row>
    <row r="6" customFormat="false" ht="15" hidden="false" customHeight="false" outlineLevel="0" collapsed="false">
      <c r="A6" s="4" t="s">
        <v>264</v>
      </c>
      <c r="B6" s="4" t="s">
        <v>265</v>
      </c>
      <c r="C6" s="4" t="s">
        <v>266</v>
      </c>
      <c r="D6" s="4" t="s">
        <v>267</v>
      </c>
      <c r="E6" s="4" t="s">
        <v>263</v>
      </c>
    </row>
    <row r="7" customFormat="false" ht="15" hidden="false" customHeight="false" outlineLevel="0" collapsed="false">
      <c r="A7" s="4" t="s">
        <v>268</v>
      </c>
      <c r="B7" s="4" t="s">
        <v>269</v>
      </c>
      <c r="C7" s="4" t="s">
        <v>270</v>
      </c>
      <c r="D7" s="4" t="s">
        <v>271</v>
      </c>
      <c r="E7" s="4" t="s">
        <v>272</v>
      </c>
    </row>
    <row r="8" customFormat="false" ht="15" hidden="false" customHeight="false" outlineLevel="0" collapsed="false">
      <c r="A8" s="4" t="s">
        <v>273</v>
      </c>
      <c r="B8" s="4" t="s">
        <v>274</v>
      </c>
      <c r="C8" s="4" t="s">
        <v>275</v>
      </c>
      <c r="D8" s="4" t="s">
        <v>276</v>
      </c>
      <c r="E8" s="4" t="s">
        <v>263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2026-04-20T07:04:36Z</dcterms:created>
  <dc:creator>openpyxl</dc:creator>
  <dc:description/>
  <dc:language>en-US</dc:language>
  <cp:lastModifiedBy/>
  <dcterms:modified xsi:type="dcterms:W3CDTF">2026-04-20T07:04:36Z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